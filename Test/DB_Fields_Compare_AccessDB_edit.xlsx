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bb-my.sharepoint.com/personal/mackey-jinhuan_lao_cn_abb_com/Documents/00_WorkPlace/01_Design_Work/01_Prg/10_Py/PythonCode/A1_Flask/Flask_CONNECT_DB/Test/"/>
    </mc:Choice>
  </mc:AlternateContent>
  <xr:revisionPtr revIDLastSave="1077" documentId="8_{F43EDBC4-E357-4E18-AB35-6ED02E3FA8D1}" xr6:coauthVersionLast="47" xr6:coauthVersionMax="47" xr10:uidLastSave="{9764286A-E7B4-49CA-9732-2D48F4D9ED2A}"/>
  <bookViews>
    <workbookView xWindow="-120" yWindow="-120" windowWidth="29040" windowHeight="17520" tabRatio="933" firstSheet="12" activeTab="26" xr2:uid="{00000000-000D-0000-FFFF-FFFF00000000}"/>
  </bookViews>
  <sheets>
    <sheet name="Readme" sheetId="26" r:id="rId1"/>
    <sheet name="TableName_Mapping" sheetId="27" r:id="rId2"/>
    <sheet name="01-Capacitors" sheetId="1" r:id="rId3"/>
    <sheet name="02-Resistors" sheetId="2" r:id="rId4"/>
    <sheet name="03-Varistors" sheetId="3" r:id="rId5"/>
    <sheet name="04-Transistors" sheetId="4" r:id="rId6"/>
    <sheet name="05-Diodes" sheetId="5" r:id="rId7"/>
    <sheet name="06-ICs_digital" sheetId="6" r:id="rId8"/>
    <sheet name="07-Memory" sheetId="7" r:id="rId9"/>
    <sheet name="08-ICs_analog" sheetId="8" r:id="rId10"/>
    <sheet name="09-Regulators" sheetId="9" r:id="rId11"/>
    <sheet name="10-Converters" sheetId="10" r:id="rId12"/>
    <sheet name="11-OP_Amps" sheetId="11" r:id="rId13"/>
    <sheet name="12-Magnetics" sheetId="12" r:id="rId14"/>
    <sheet name="13-Transformers" sheetId="13" r:id="rId15"/>
    <sheet name="14-Opto" sheetId="14" r:id="rId16"/>
    <sheet name="15-Oscillators" sheetId="15" r:id="rId17"/>
    <sheet name="16-Connectors" sheetId="16" r:id="rId18"/>
    <sheet name="17-Relays" sheetId="17" r:id="rId19"/>
    <sheet name="18-Sensors" sheetId="18" r:id="rId20"/>
    <sheet name="19-Switches" sheetId="19" r:id="rId21"/>
    <sheet name="20-MechParts" sheetId="20" r:id="rId22"/>
    <sheet name="21-MiscParts" sheetId="21" r:id="rId23"/>
    <sheet name="23-PCB" sheetId="22" r:id="rId24"/>
    <sheet name="24-Software" sheetId="23" r:id="rId25"/>
    <sheet name="90-Titleblock" sheetId="24" r:id="rId26"/>
    <sheet name="98-Shapes" sheetId="25" r:id="rId27"/>
  </sheets>
  <externalReferences>
    <externalReference r:id="rId28"/>
  </externalReferences>
  <definedNames>
    <definedName name="_xlnm._FilterDatabase" localSheetId="2" hidden="1">'01-Capacitors'!$A$2:$J$71</definedName>
    <definedName name="_xlnm._FilterDatabase" localSheetId="3" hidden="1">'02-Resistors'!$A$2:$J$70</definedName>
    <definedName name="_xlnm._FilterDatabase" localSheetId="4" hidden="1">'03-Varistors'!$A$2:$J$71</definedName>
    <definedName name="_xlnm._FilterDatabase" localSheetId="5" hidden="1">'04-Transistors'!$A$2:$J$71</definedName>
    <definedName name="_xlnm._FilterDatabase" localSheetId="6" hidden="1">'05-Diodes'!$A$2:$J$71</definedName>
    <definedName name="_xlnm._FilterDatabase" localSheetId="7" hidden="1">'06-ICs_digital'!$A$2:$J$68</definedName>
    <definedName name="_xlnm._FilterDatabase" localSheetId="8" hidden="1">'07-Memory'!$A$2:$J$70</definedName>
    <definedName name="_xlnm._FilterDatabase" localSheetId="9" hidden="1">'08-ICs_analog'!$A$2:$J$68</definedName>
    <definedName name="_xlnm._FilterDatabase" localSheetId="10" hidden="1">'09-Regulators'!$A$2:$J$68</definedName>
    <definedName name="_xlnm._FilterDatabase" localSheetId="11" hidden="1">'10-Converters'!$A$2:$J$68</definedName>
    <definedName name="_xlnm._FilterDatabase" localSheetId="12" hidden="1">'11-OP_Amps'!$A$2:$J$70</definedName>
    <definedName name="_xlnm._FilterDatabase" localSheetId="13" hidden="1">'12-Magnetics'!$A$2:$J$71</definedName>
    <definedName name="_xlnm._FilterDatabase" localSheetId="14" hidden="1">'13-Transformers'!$A$2:$J$71</definedName>
    <definedName name="_xlnm._FilterDatabase" localSheetId="15" hidden="1">'14-Opto'!$A$2:$J$71</definedName>
    <definedName name="_xlnm._FilterDatabase" localSheetId="16" hidden="1">'15-Oscillators'!$A$2:$J$72</definedName>
    <definedName name="_xlnm._FilterDatabase" localSheetId="17" hidden="1">'16-Connectors'!$A$2:$J$71</definedName>
    <definedName name="_xlnm._FilterDatabase" localSheetId="18" hidden="1">'17-Relays'!$A$2:$J$71</definedName>
    <definedName name="_xlnm._FilterDatabase" localSheetId="19" hidden="1">'18-Sensors'!$A$2:$J$67</definedName>
    <definedName name="_xlnm._FilterDatabase" localSheetId="20" hidden="1">'19-Switches'!$A$2:$J$71</definedName>
    <definedName name="_xlnm._FilterDatabase" localSheetId="21" hidden="1">'20-MechParts'!$A$2:$J$67</definedName>
    <definedName name="_xlnm._FilterDatabase" localSheetId="22" hidden="1">'21-MiscParts'!$A$2:$J$67</definedName>
    <definedName name="_xlnm._FilterDatabase" localSheetId="23" hidden="1">'23-PCB'!$A$2:$J$2</definedName>
    <definedName name="_xlnm._FilterDatabase" localSheetId="24" hidden="1">'24-Software'!$A$2:$J$2</definedName>
    <definedName name="_xlnm._FilterDatabase" localSheetId="25" hidden="1">'90-Titleblock'!$A$2:$J$2</definedName>
    <definedName name="_xlnm._FilterDatabase" localSheetId="26" hidden="1">'98-Shapes'!$A$2:$J$2</definedName>
    <definedName name="Perf_Criterion_F.2.2.2_Performance_criteria">#REF!</definedName>
    <definedName name="Perf_Criterion_J.2.1_General">#REF!</definedName>
    <definedName name="Table_23">#REF!</definedName>
    <definedName name="Table_J.1">#REF!</definedName>
    <definedName name="Table_J.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5" l="1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3" i="25"/>
  <c r="J4" i="25"/>
  <c r="J5" i="25"/>
  <c r="J6" i="25"/>
  <c r="J7" i="25"/>
  <c r="J3" i="25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3" i="24"/>
  <c r="J4" i="24"/>
  <c r="J5" i="24"/>
  <c r="J6" i="24"/>
  <c r="J3" i="24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3" i="23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3" i="22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3" i="20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3" i="7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3" i="6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3" i="6"/>
  <c r="J3" i="8"/>
  <c r="J3" i="9"/>
  <c r="J3" i="10"/>
  <c r="J3" i="11"/>
  <c r="J3" i="12"/>
  <c r="J3" i="13"/>
  <c r="J3" i="14"/>
  <c r="J3" i="15"/>
  <c r="J3" i="16"/>
  <c r="J3" i="17"/>
  <c r="J3" i="18"/>
  <c r="J3" i="19"/>
  <c r="J3" i="20"/>
  <c r="J3" i="21"/>
  <c r="J3" i="22"/>
  <c r="J3" i="23"/>
  <c r="J3" i="5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3" i="4"/>
  <c r="J24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3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3" i="2"/>
  <c r="F18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3" i="1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3" i="2"/>
  <c r="D3" i="3"/>
  <c r="D3" i="4"/>
  <c r="D3" i="5"/>
  <c r="D3" i="6"/>
  <c r="D3" i="7"/>
  <c r="D3" i="8"/>
  <c r="D3" i="9"/>
  <c r="D3" i="10"/>
  <c r="D3" i="11"/>
  <c r="D3" i="12"/>
  <c r="D3" i="13"/>
  <c r="D3" i="14"/>
  <c r="D3" i="15"/>
  <c r="D3" i="16"/>
  <c r="D3" i="17"/>
  <c r="D3" i="18"/>
  <c r="D3" i="19"/>
  <c r="D3" i="20"/>
  <c r="D3" i="21"/>
  <c r="D3" i="22"/>
  <c r="D3" i="23"/>
  <c r="D3" i="24"/>
  <c r="D3" i="25"/>
  <c r="D3" i="1"/>
</calcChain>
</file>

<file path=xl/sharedStrings.xml><?xml version="1.0" encoding="utf-8"?>
<sst xmlns="http://schemas.openxmlformats.org/spreadsheetml/2006/main" count="5615" uniqueCount="354">
  <si>
    <t>TABLES_SAPMaxDB</t>
  </si>
  <si>
    <t>TABLES_AccessDB</t>
  </si>
  <si>
    <t>TABLES_PostgreSQLDB</t>
  </si>
  <si>
    <t>CAPACITORS</t>
  </si>
  <si>
    <t>[01-Capacitors]</t>
  </si>
  <si>
    <t>capacitors_l2u</t>
  </si>
  <si>
    <t>ad_alt_footprint</t>
  </si>
  <si>
    <t>activepartsid</t>
  </si>
  <si>
    <t>ad_footprint</t>
  </si>
  <si>
    <t>ad_symbol</t>
  </si>
  <si>
    <t>alt_symbols</t>
  </si>
  <si>
    <t>annualconsumption</t>
  </si>
  <si>
    <t>approvals_of_part</t>
  </si>
  <si>
    <t>alt_symbols_cp</t>
  </si>
  <si>
    <t>approvals_required</t>
  </si>
  <si>
    <t>capvoltage</t>
  </si>
  <si>
    <t>approvals of part</t>
  </si>
  <si>
    <t>datasheet_1</t>
  </si>
  <si>
    <t>approvals required</t>
  </si>
  <si>
    <t>datasheet_2</t>
  </si>
  <si>
    <t>bqr_partnum_mil</t>
  </si>
  <si>
    <t>datasheet_3</t>
  </si>
  <si>
    <t>bqr_partnum_sie</t>
  </si>
  <si>
    <t>datasheet_4</t>
  </si>
  <si>
    <t>datasheet_5</t>
  </si>
  <si>
    <t>class</t>
  </si>
  <si>
    <t>datasheet_6</t>
  </si>
  <si>
    <t>compmaterial</t>
  </si>
  <si>
    <t>datasheet_7</t>
  </si>
  <si>
    <t>comptype</t>
  </si>
  <si>
    <t>deliverytime</t>
  </si>
  <si>
    <t>datasheet 1</t>
  </si>
  <si>
    <t>detaildrawing</t>
  </si>
  <si>
    <t>datasheet 2</t>
  </si>
  <si>
    <t>dielectric</t>
  </si>
  <si>
    <t>datasheet 3</t>
  </si>
  <si>
    <t>docversion</t>
  </si>
  <si>
    <t>datasheet 4</t>
  </si>
  <si>
    <t>editor</t>
  </si>
  <si>
    <t>datasheet 5</t>
  </si>
  <si>
    <t>esr</t>
  </si>
  <si>
    <t>datasheet 6</t>
  </si>
  <si>
    <t>free_comment</t>
  </si>
  <si>
    <t>datasheet 7</t>
  </si>
  <si>
    <t>height</t>
  </si>
  <si>
    <t>id</t>
  </si>
  <si>
    <t>implementation</t>
  </si>
  <si>
    <t>in_approved_devices</t>
  </si>
  <si>
    <t>manufact_1</t>
  </si>
  <si>
    <t>manufact_2</t>
  </si>
  <si>
    <t>manufact_3</t>
  </si>
  <si>
    <t>manufact_4</t>
  </si>
  <si>
    <t>further_information</t>
  </si>
  <si>
    <t>manufact_5</t>
  </si>
  <si>
    <t>manufact_6</t>
  </si>
  <si>
    <t>manufact_7</t>
  </si>
  <si>
    <t>in approved devices</t>
  </si>
  <si>
    <t>manufact_partnum_1</t>
  </si>
  <si>
    <t>manufact 1</t>
  </si>
  <si>
    <t>manufact_partnum_2</t>
  </si>
  <si>
    <t>manufact 2</t>
  </si>
  <si>
    <t>manufact_partnum_3</t>
  </si>
  <si>
    <t>manufact 3</t>
  </si>
  <si>
    <t>manufact_partnum_4</t>
  </si>
  <si>
    <t>manufact 4</t>
  </si>
  <si>
    <t>manufact_partnum_5</t>
  </si>
  <si>
    <t>manufact 5</t>
  </si>
  <si>
    <t>manufact_partnum_6</t>
  </si>
  <si>
    <t>manufact 6</t>
  </si>
  <si>
    <t>manufact_partnum_7</t>
  </si>
  <si>
    <t>manufact 7</t>
  </si>
  <si>
    <t>material_type</t>
  </si>
  <si>
    <t>manufact partnum 1</t>
  </si>
  <si>
    <t>mounttechn</t>
  </si>
  <si>
    <t>manufact partnum 2</t>
  </si>
  <si>
    <t>msllevel</t>
  </si>
  <si>
    <t>manufact partnum 3</t>
  </si>
  <si>
    <t>package_housing</t>
  </si>
  <si>
    <t>manufact partnum 4</t>
  </si>
  <si>
    <t>packagingtype</t>
  </si>
  <si>
    <t>manufact partnum 5</t>
  </si>
  <si>
    <t>packagingunit</t>
  </si>
  <si>
    <t>manufact partnum 6</t>
  </si>
  <si>
    <t>partnumber</t>
  </si>
  <si>
    <t>manufact partnum 7</t>
  </si>
  <si>
    <t>parttype</t>
  </si>
  <si>
    <t>pcb_footprint</t>
  </si>
  <si>
    <t>mechmodell</t>
  </si>
  <si>
    <t>prefpart</t>
  </si>
  <si>
    <t>price</t>
  </si>
  <si>
    <t>primuseinehg</t>
  </si>
  <si>
    <t>raw_part</t>
  </si>
  <si>
    <t>rohs_compliant</t>
  </si>
  <si>
    <t>sap_comment</t>
  </si>
  <si>
    <t>parthistory</t>
  </si>
  <si>
    <t>sap_description</t>
  </si>
  <si>
    <t>sap_number</t>
  </si>
  <si>
    <t>scm_symbol</t>
  </si>
  <si>
    <t>solderprocess</t>
  </si>
  <si>
    <t>pcb_footprint_cp</t>
  </si>
  <si>
    <t>status</t>
  </si>
  <si>
    <t>stockquantity</t>
  </si>
  <si>
    <t>storagetemp</t>
  </si>
  <si>
    <t>tcmax</t>
  </si>
  <si>
    <t>pspicetemp</t>
  </si>
  <si>
    <t>techdescription</t>
  </si>
  <si>
    <t>temprange</t>
  </si>
  <si>
    <t>restrictedsubstances</t>
  </si>
  <si>
    <t>tolerance</t>
  </si>
  <si>
    <t>rohs_china</t>
  </si>
  <si>
    <t>us_technology</t>
  </si>
  <si>
    <t>usage_1</t>
  </si>
  <si>
    <t>value_1</t>
  </si>
  <si>
    <t>series</t>
  </si>
  <si>
    <t>signalmodel</t>
  </si>
  <si>
    <t>solderduration_reflow</t>
  </si>
  <si>
    <t>solderduration_wave</t>
  </si>
  <si>
    <t>soldertemperatur_reflow</t>
  </si>
  <si>
    <t>soldertemperatur_wave</t>
  </si>
  <si>
    <t>thetajb</t>
  </si>
  <si>
    <t>thetajc</t>
  </si>
  <si>
    <t>usage</t>
  </si>
  <si>
    <t>value</t>
  </si>
  <si>
    <t>RESISTORS</t>
  </si>
  <si>
    <t>[02-Resistors]</t>
  </si>
  <si>
    <t>resistors_l2u</t>
  </si>
  <si>
    <t>ratedpower</t>
  </si>
  <si>
    <t>tempcoeff</t>
  </si>
  <si>
    <t>VARISTORS</t>
  </si>
  <si>
    <t>[03-Varistors]</t>
  </si>
  <si>
    <t>varistors_l2u</t>
  </si>
  <si>
    <t>clampingvoltage</t>
  </si>
  <si>
    <t>maxenergy</t>
  </si>
  <si>
    <t>maxsurgecurr</t>
  </si>
  <si>
    <t>workingvolt</t>
  </si>
  <si>
    <t>TRANSISTORS</t>
  </si>
  <si>
    <t>[04-Transistors]</t>
  </si>
  <si>
    <t>transistors_l2u</t>
  </si>
  <si>
    <t>b_rdson</t>
  </si>
  <si>
    <t>b / rdson</t>
  </si>
  <si>
    <t>ic_id</t>
  </si>
  <si>
    <t>ic/id</t>
  </si>
  <si>
    <t>vceo_vds_vgt</t>
  </si>
  <si>
    <t>vceo/vds/vgt</t>
  </si>
  <si>
    <t>DIODES</t>
  </si>
  <si>
    <t>[05-Diodes]</t>
  </si>
  <si>
    <t>diodes_l2u</t>
  </si>
  <si>
    <t>if_1</t>
  </si>
  <si>
    <t>if</t>
  </si>
  <si>
    <t>vf</t>
  </si>
  <si>
    <t>vrev</t>
  </si>
  <si>
    <t>ICS_DIGITAL</t>
  </si>
  <si>
    <t>[06-ICs_digital]</t>
  </si>
  <si>
    <t>ics_digital_l2u</t>
  </si>
  <si>
    <t>vcc</t>
  </si>
  <si>
    <t>MEMORY</t>
  </si>
  <si>
    <t>[07-Memory]</t>
  </si>
  <si>
    <t>memory_l2u</t>
  </si>
  <si>
    <t>accesstime</t>
  </si>
  <si>
    <t>organisation</t>
  </si>
  <si>
    <t>ICS_ANALOG</t>
  </si>
  <si>
    <t>[08-ICs_analog]</t>
  </si>
  <si>
    <t>ics_analog_l2u</t>
  </si>
  <si>
    <t>REGULATORS</t>
  </si>
  <si>
    <t>[09-Regulators]</t>
  </si>
  <si>
    <t>regulators_l2u</t>
  </si>
  <si>
    <t>CONVERTERS</t>
  </si>
  <si>
    <t>[10-Converters]</t>
  </si>
  <si>
    <t>converters_l2u</t>
  </si>
  <si>
    <t>OP_AMPS</t>
  </si>
  <si>
    <t>[11-OP_Amps]</t>
  </si>
  <si>
    <t>op_amps_l2u</t>
  </si>
  <si>
    <t>icc</t>
  </si>
  <si>
    <t>uoffs</t>
  </si>
  <si>
    <t>MAGNETICS</t>
  </si>
  <si>
    <t>[12-Magnetics]</t>
  </si>
  <si>
    <t>magnetics_l2u</t>
  </si>
  <si>
    <t>dc_resistance</t>
  </si>
  <si>
    <t>ratedcurrent</t>
  </si>
  <si>
    <t>ratedfrequency</t>
  </si>
  <si>
    <t>ratedind_imp</t>
  </si>
  <si>
    <t>ratedind/imp</t>
  </si>
  <si>
    <t>TRANSFORMERS</t>
  </si>
  <si>
    <t>[13-Transformers]</t>
  </si>
  <si>
    <t>transformers_l2u</t>
  </si>
  <si>
    <t>impedancetolerance</t>
  </si>
  <si>
    <t>prim_sec_voltage</t>
  </si>
  <si>
    <t>priminductivity</t>
  </si>
  <si>
    <t>prim/sec_voltage</t>
  </si>
  <si>
    <t>windingratio</t>
  </si>
  <si>
    <t>OPTO</t>
  </si>
  <si>
    <t>[14-Opto]</t>
  </si>
  <si>
    <t>opto_l2u</t>
  </si>
  <si>
    <t>if_ic</t>
  </si>
  <si>
    <t>vrev_vceo</t>
  </si>
  <si>
    <t>OSCILLATORS</t>
  </si>
  <si>
    <t>[15-Oscillators]</t>
  </si>
  <si>
    <t>oscillators_l2u</t>
  </si>
  <si>
    <t>aging</t>
  </si>
  <si>
    <t>frequency</t>
  </si>
  <si>
    <t>load_capacity</t>
  </si>
  <si>
    <t>stability</t>
  </si>
  <si>
    <t>CONNECTORS</t>
  </si>
  <si>
    <t>[16-Connectors]</t>
  </si>
  <si>
    <t>connectors_l2u</t>
  </si>
  <si>
    <t>contactform</t>
  </si>
  <si>
    <t>pitch</t>
  </si>
  <si>
    <t>style</t>
  </si>
  <si>
    <t>type</t>
  </si>
  <si>
    <t>RELAYS</t>
  </si>
  <si>
    <t>[17-Relays]</t>
  </si>
  <si>
    <t>relays_l2u</t>
  </si>
  <si>
    <t>contacts</t>
  </si>
  <si>
    <t>isw</t>
  </si>
  <si>
    <t>vcoil</t>
  </si>
  <si>
    <t>vsw</t>
  </si>
  <si>
    <t>SENSORS</t>
  </si>
  <si>
    <t>[18-Sensors]</t>
  </si>
  <si>
    <t>sensors_l2u</t>
  </si>
  <si>
    <t>SWITCHES</t>
  </si>
  <si>
    <t>[19-Switches]</t>
  </si>
  <si>
    <t>switches_l2u</t>
  </si>
  <si>
    <t>dimension</t>
  </si>
  <si>
    <t>MECHPARTS</t>
  </si>
  <si>
    <t>[20-MechParts]</t>
  </si>
  <si>
    <t>mechparts_l2u</t>
  </si>
  <si>
    <t>MISCPARTS</t>
  </si>
  <si>
    <t>[21-MiscParts]</t>
  </si>
  <si>
    <t>miscparts_l2u</t>
  </si>
  <si>
    <t>PCB</t>
  </si>
  <si>
    <t>[23-PCB]</t>
  </si>
  <si>
    <t>pcb_l2u</t>
  </si>
  <si>
    <t>basematerial</t>
  </si>
  <si>
    <t>basematerial_thickness</t>
  </si>
  <si>
    <t>final_copper</t>
  </si>
  <si>
    <t>SOFTWARE</t>
  </si>
  <si>
    <t>[24-Software]</t>
  </si>
  <si>
    <t>software_l2u</t>
  </si>
  <si>
    <t>TITLEBLOCK</t>
  </si>
  <si>
    <t>[90-Titleblock]</t>
  </si>
  <si>
    <t>titleblock_l2u</t>
  </si>
  <si>
    <t>abt</t>
  </si>
  <si>
    <t>aend_date_1</t>
  </si>
  <si>
    <t>aend_date_2</t>
  </si>
  <si>
    <t>aend_date_3</t>
  </si>
  <si>
    <t>aend_date_4</t>
  </si>
  <si>
    <t>aend_date_5</t>
  </si>
  <si>
    <t>aend_index_1</t>
  </si>
  <si>
    <t>aend_index_2</t>
  </si>
  <si>
    <t>aend_index_3</t>
  </si>
  <si>
    <t>aend_index_4</t>
  </si>
  <si>
    <t>aend_index_5</t>
  </si>
  <si>
    <t>aend_text_1</t>
  </si>
  <si>
    <t>aend_text_2</t>
  </si>
  <si>
    <t>aend_text_3</t>
  </si>
  <si>
    <t>aend_text_4</t>
  </si>
  <si>
    <t>aend_text_5</t>
  </si>
  <si>
    <t>ausgest</t>
  </si>
  <si>
    <t>copyright_year</t>
  </si>
  <si>
    <t>drawing</t>
  </si>
  <si>
    <t>ecn_date</t>
  </si>
  <si>
    <t>ecn_number</t>
  </si>
  <si>
    <t>ersatz_fuer</t>
  </si>
  <si>
    <t>format</t>
  </si>
  <si>
    <t>freigeg</t>
  </si>
  <si>
    <t>geprueft</t>
  </si>
  <si>
    <t>language</t>
  </si>
  <si>
    <t>partname</t>
  </si>
  <si>
    <t>pru</t>
  </si>
  <si>
    <t>revision</t>
  </si>
  <si>
    <t>tbk_sap_number</t>
  </si>
  <si>
    <t>title</t>
  </si>
  <si>
    <t>title_en</t>
  </si>
  <si>
    <t>SHAPES</t>
  </si>
  <si>
    <t>[98-Shapes]</t>
  </si>
  <si>
    <t>shapes_l2u</t>
  </si>
  <si>
    <t>This sheet is used to identify the field name list in following three Database</t>
  </si>
  <si>
    <t>Database for Cadence (Old)</t>
  </si>
  <si>
    <t>New Database with "_l2u" suffix Table Name</t>
  </si>
  <si>
    <t>Database for Altium Designer in China (Old)</t>
  </si>
  <si>
    <t>This workbook include following sheets (Which name by AccessDB Table Names)</t>
  </si>
  <si>
    <t>01-Capacitors</t>
  </si>
  <si>
    <t>02-Resistors</t>
  </si>
  <si>
    <t>03-Varistors</t>
  </si>
  <si>
    <t>04-Transistors</t>
  </si>
  <si>
    <t>05-Diodes</t>
  </si>
  <si>
    <t>06-ICs_digital</t>
  </si>
  <si>
    <t>07-Memory</t>
  </si>
  <si>
    <t>08-ICs_analog</t>
  </si>
  <si>
    <t>09-Regulators</t>
  </si>
  <si>
    <t>10-Converters</t>
  </si>
  <si>
    <t>11-OP_Amps</t>
  </si>
  <si>
    <t>12-Magnetics</t>
  </si>
  <si>
    <t>13-Transformers</t>
  </si>
  <si>
    <t>14-Opto</t>
  </si>
  <si>
    <t>15-Oscillators</t>
  </si>
  <si>
    <t>16-Connectors</t>
  </si>
  <si>
    <t>17-Relays</t>
  </si>
  <si>
    <t>18-Sensors</t>
  </si>
  <si>
    <t>19-Switches</t>
  </si>
  <si>
    <t>20-MechParts</t>
  </si>
  <si>
    <t>21-MiscParts</t>
  </si>
  <si>
    <t>23-PCB</t>
  </si>
  <si>
    <t>24-Software</t>
  </si>
  <si>
    <t>90-Titleblock</t>
  </si>
  <si>
    <t>98-Shapes</t>
  </si>
  <si>
    <t>Row 1</t>
  </si>
  <si>
    <t>Row 2</t>
  </si>
  <si>
    <t>Database Name (ref item 1)</t>
  </si>
  <si>
    <t>Table Name of each Database</t>
  </si>
  <si>
    <t>Field Name of each DB/Table</t>
  </si>
  <si>
    <t>Mapping</t>
  </si>
  <si>
    <t>New</t>
  </si>
  <si>
    <t>AD in used</t>
  </si>
  <si>
    <t>Old Table in Access</t>
  </si>
  <si>
    <t>in used in AD now</t>
  </si>
  <si>
    <t>Available in new DB?</t>
  </si>
  <si>
    <t>Y</t>
  </si>
  <si>
    <t>02-Resistors_Series</t>
  </si>
  <si>
    <t>N</t>
  </si>
  <si>
    <t>22-MechAddParts</t>
  </si>
  <si>
    <t>tmpprts_l2u</t>
  </si>
  <si>
    <t>TMPPRTS</t>
  </si>
  <si>
    <t>tmpprts stands for temporary parts. But as I look into the database, this database is not being used. The last entry in this database has been made in 2018</t>
  </si>
  <si>
    <t>99-MechPartsMAP</t>
  </si>
  <si>
    <t>Altium CN(old)</t>
  </si>
  <si>
    <t>Cadence(CDS_CIS,old)</t>
  </si>
  <si>
    <t>In each sheet clarify the field name list for each Database and the mapping relationship.</t>
  </si>
  <si>
    <t>Row 3 and others</t>
  </si>
  <si>
    <t>Result shown that the fied name are the same for above two DB, So the new "VIEW" tables for Cadence no need to change the field names.</t>
  </si>
  <si>
    <t>In sheet "TableName_Mapping",field name mapping for three DB are listed.</t>
  </si>
  <si>
    <t>Comment</t>
  </si>
  <si>
    <t>DB Name</t>
  </si>
  <si>
    <t>Table Name</t>
  </si>
  <si>
    <t>Field List</t>
  </si>
  <si>
    <t>AccessDB left</t>
  </si>
  <si>
    <t>B=C?</t>
  </si>
  <si>
    <t>C=E?</t>
  </si>
  <si>
    <t>Column D</t>
  </si>
  <si>
    <t>Empty</t>
  </si>
  <si>
    <t>some with "DISCRETE" value</t>
  </si>
  <si>
    <t>Should use "id" for new Table</t>
  </si>
  <si>
    <t>Todo:</t>
  </si>
  <si>
    <t>a)</t>
  </si>
  <si>
    <t>Column B and Column E are the Tables to be created, field name mapping to the New PostgreDB is provided.</t>
  </si>
  <si>
    <t>Column B: for Cadence (CDS_CIS)</t>
  </si>
  <si>
    <t>Column E: for Altium Designer (AD)</t>
  </si>
  <si>
    <t>Column F</t>
  </si>
  <si>
    <t>Check if the field name in the "TABLES_SAPMaxDB" and the "TABLES_PostgreSQLDB" are the same</t>
  </si>
  <si>
    <t>Check if the field name in the "TABLES_AccessDB" and the "TABLES_PostgreSQLDB" are the same</t>
  </si>
  <si>
    <t>Result shown that mass different in between.</t>
  </si>
  <si>
    <t>No</t>
  </si>
  <si>
    <t>should use PostgreDB filed name</t>
  </si>
  <si>
    <t>Should copy to AccessDB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</si>
</sst>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1" xfId="0" applyFill="1" applyBorder="1"/>
    <xf numFmtId="0" fontId="0" fillId="2" borderId="1" xfId="0" applyFill="1" applyBorder="1"/>
    <xf numFmtId="0" fontId="0" fillId="6" borderId="1" xfId="0" applyFill="1" applyBorder="1"/>
    <xf numFmtId="0" fontId="1" fillId="2" borderId="1" xfId="0" applyFont="1" applyFill="1" applyBorder="1"/>
    <xf numFmtId="0" fontId="0" fillId="2" borderId="0" xfId="0" applyFill="1" applyAlignment="1">
      <alignment wrapText="1"/>
    </xf>
    <xf numFmtId="0" fontId="1" fillId="2" borderId="0" xfId="0" applyFont="1" applyFill="1"/>
    <xf numFmtId="0" fontId="0" fillId="7" borderId="0" xfId="0" applyFill="1"/>
    <xf numFmtId="0" fontId="0" fillId="3" borderId="1" xfId="0" applyFill="1" applyBorder="1"/>
    <xf numFmtId="0" fontId="0" fillId="4" borderId="1" xfId="0" applyFill="1" applyBorder="1"/>
    <xf numFmtId="0" fontId="0" fillId="3" borderId="0" xfId="0" applyFill="1" applyBorder="1"/>
    <xf numFmtId="0" fontId="0" fillId="2" borderId="0" xfId="0" applyFill="1" applyBorder="1"/>
    <xf numFmtId="0" fontId="0" fillId="8" borderId="0" xfId="0" applyFill="1"/>
    <xf numFmtId="0" fontId="0" fillId="2" borderId="3" xfId="0" applyFill="1" applyBorder="1"/>
    <xf numFmtId="0" fontId="0" fillId="3" borderId="2" xfId="0" applyFill="1" applyBorder="1"/>
    <xf numFmtId="0" fontId="0" fillId="2" borderId="4" xfId="0" applyFill="1" applyBorder="1"/>
    <xf numFmtId="0" fontId="0" fillId="0" borderId="1" xfId="0" applyBorder="1"/>
  </cellXfs>
  <cellStyles count="1">
    <cellStyle name="Normal" xfId="0" builtinId="0"/>
  </cellStyles>
  <dxfs count="77"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D_Prj\New_Connect_DB\New_Connect_DB_Test\New_Connect_DB_Test_Parameter_Cmp.xlsx" TargetMode="External"/><Relationship Id="rId1" Type="http://schemas.openxmlformats.org/officeDocument/2006/relationships/externalLinkPath" Target="file:///C:\Temp\AD_Prj\New_Connect_DB\New_Connect_DB_Test\New_Connect_DB_Test_Parameter_C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mp"/>
      <sheetName val="source"/>
      <sheetName val="TableName_Mapping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65A2-D122-4E51-9D6A-0B56B39DC067}">
  <dimension ref="A2:C46"/>
  <sheetViews>
    <sheetView workbookViewId="0">
      <selection activeCell="I3" sqref="I3:I91"/>
    </sheetView>
  </sheetViews>
  <sheetFormatPr defaultRowHeight="15" x14ac:dyDescent="0.25"/>
  <cols>
    <col min="1" max="1" width="9.140625" style="1"/>
    <col min="2" max="2" width="22.7109375" style="1" customWidth="1"/>
    <col min="3" max="3" width="40.42578125" style="1" customWidth="1"/>
    <col min="4" max="16384" width="9.140625" style="1"/>
  </cols>
  <sheetData>
    <row r="2" spans="1:3" x14ac:dyDescent="0.25">
      <c r="A2" s="1">
        <v>1</v>
      </c>
      <c r="B2" s="1" t="s">
        <v>276</v>
      </c>
    </row>
    <row r="3" spans="1:3" x14ac:dyDescent="0.25">
      <c r="B3" s="5" t="s">
        <v>0</v>
      </c>
      <c r="C3" s="5" t="s">
        <v>277</v>
      </c>
    </row>
    <row r="4" spans="1:3" x14ac:dyDescent="0.25">
      <c r="B4" s="5" t="s">
        <v>2</v>
      </c>
      <c r="C4" s="5" t="s">
        <v>278</v>
      </c>
    </row>
    <row r="5" spans="1:3" x14ac:dyDescent="0.25">
      <c r="B5" s="5" t="s">
        <v>1</v>
      </c>
      <c r="C5" s="5" t="s">
        <v>279</v>
      </c>
    </row>
    <row r="6" spans="1:3" x14ac:dyDescent="0.25">
      <c r="A6" s="1">
        <v>2</v>
      </c>
      <c r="B6" s="1" t="s">
        <v>280</v>
      </c>
    </row>
    <row r="7" spans="1:3" x14ac:dyDescent="0.25">
      <c r="C7" s="5" t="s">
        <v>281</v>
      </c>
    </row>
    <row r="8" spans="1:3" x14ac:dyDescent="0.25">
      <c r="C8" s="5" t="s">
        <v>282</v>
      </c>
    </row>
    <row r="9" spans="1:3" x14ac:dyDescent="0.25">
      <c r="C9" s="5" t="s">
        <v>283</v>
      </c>
    </row>
    <row r="10" spans="1:3" x14ac:dyDescent="0.25">
      <c r="C10" s="5" t="s">
        <v>284</v>
      </c>
    </row>
    <row r="11" spans="1:3" x14ac:dyDescent="0.25">
      <c r="C11" s="5" t="s">
        <v>285</v>
      </c>
    </row>
    <row r="12" spans="1:3" x14ac:dyDescent="0.25">
      <c r="C12" s="5" t="s">
        <v>286</v>
      </c>
    </row>
    <row r="13" spans="1:3" x14ac:dyDescent="0.25">
      <c r="C13" s="5" t="s">
        <v>287</v>
      </c>
    </row>
    <row r="14" spans="1:3" x14ac:dyDescent="0.25">
      <c r="C14" s="5" t="s">
        <v>288</v>
      </c>
    </row>
    <row r="15" spans="1:3" x14ac:dyDescent="0.25">
      <c r="C15" s="5" t="s">
        <v>289</v>
      </c>
    </row>
    <row r="16" spans="1:3" x14ac:dyDescent="0.25">
      <c r="C16" s="5" t="s">
        <v>290</v>
      </c>
    </row>
    <row r="17" spans="1:3" x14ac:dyDescent="0.25">
      <c r="C17" s="5" t="s">
        <v>291</v>
      </c>
    </row>
    <row r="18" spans="1:3" x14ac:dyDescent="0.25">
      <c r="C18" s="5" t="s">
        <v>292</v>
      </c>
    </row>
    <row r="19" spans="1:3" x14ac:dyDescent="0.25">
      <c r="C19" s="5" t="s">
        <v>293</v>
      </c>
    </row>
    <row r="20" spans="1:3" x14ac:dyDescent="0.25">
      <c r="C20" s="5" t="s">
        <v>294</v>
      </c>
    </row>
    <row r="21" spans="1:3" x14ac:dyDescent="0.25">
      <c r="C21" s="5" t="s">
        <v>295</v>
      </c>
    </row>
    <row r="22" spans="1:3" x14ac:dyDescent="0.25">
      <c r="C22" s="5" t="s">
        <v>296</v>
      </c>
    </row>
    <row r="23" spans="1:3" x14ac:dyDescent="0.25">
      <c r="C23" s="5" t="s">
        <v>297</v>
      </c>
    </row>
    <row r="24" spans="1:3" x14ac:dyDescent="0.25">
      <c r="C24" s="5" t="s">
        <v>298</v>
      </c>
    </row>
    <row r="25" spans="1:3" x14ac:dyDescent="0.25">
      <c r="C25" s="5" t="s">
        <v>299</v>
      </c>
    </row>
    <row r="26" spans="1:3" x14ac:dyDescent="0.25">
      <c r="C26" s="5" t="s">
        <v>300</v>
      </c>
    </row>
    <row r="27" spans="1:3" x14ac:dyDescent="0.25">
      <c r="C27" s="5" t="s">
        <v>301</v>
      </c>
    </row>
    <row r="28" spans="1:3" x14ac:dyDescent="0.25">
      <c r="C28" s="5" t="s">
        <v>302</v>
      </c>
    </row>
    <row r="29" spans="1:3" x14ac:dyDescent="0.25">
      <c r="C29" s="5" t="s">
        <v>303</v>
      </c>
    </row>
    <row r="30" spans="1:3" x14ac:dyDescent="0.25">
      <c r="C30" s="5" t="s">
        <v>304</v>
      </c>
    </row>
    <row r="31" spans="1:3" x14ac:dyDescent="0.25">
      <c r="C31" s="5" t="s">
        <v>305</v>
      </c>
    </row>
    <row r="32" spans="1:3" x14ac:dyDescent="0.25">
      <c r="A32" s="1">
        <v>3</v>
      </c>
      <c r="B32" s="1" t="s">
        <v>327</v>
      </c>
    </row>
    <row r="33" spans="1:3" x14ac:dyDescent="0.25">
      <c r="B33" s="1" t="s">
        <v>306</v>
      </c>
      <c r="C33" s="1" t="s">
        <v>308</v>
      </c>
    </row>
    <row r="34" spans="1:3" x14ac:dyDescent="0.25">
      <c r="B34" s="1" t="s">
        <v>307</v>
      </c>
      <c r="C34" s="1" t="s">
        <v>309</v>
      </c>
    </row>
    <row r="35" spans="1:3" x14ac:dyDescent="0.25">
      <c r="B35" s="1" t="s">
        <v>328</v>
      </c>
      <c r="C35" s="1" t="s">
        <v>310</v>
      </c>
    </row>
    <row r="37" spans="1:3" x14ac:dyDescent="0.25">
      <c r="B37" s="1" t="s">
        <v>338</v>
      </c>
      <c r="C37" s="9" t="s">
        <v>348</v>
      </c>
    </row>
    <row r="38" spans="1:3" x14ac:dyDescent="0.25">
      <c r="C38" s="1" t="s">
        <v>329</v>
      </c>
    </row>
    <row r="39" spans="1:3" x14ac:dyDescent="0.25">
      <c r="B39" s="1" t="s">
        <v>347</v>
      </c>
      <c r="C39" s="9" t="s">
        <v>349</v>
      </c>
    </row>
    <row r="40" spans="1:3" x14ac:dyDescent="0.25">
      <c r="C40" s="1" t="s">
        <v>350</v>
      </c>
    </row>
    <row r="41" spans="1:3" x14ac:dyDescent="0.25">
      <c r="B41" s="15" t="s">
        <v>342</v>
      </c>
    </row>
    <row r="42" spans="1:3" x14ac:dyDescent="0.25">
      <c r="B42" s="1" t="s">
        <v>343</v>
      </c>
      <c r="C42" s="1" t="s">
        <v>344</v>
      </c>
    </row>
    <row r="43" spans="1:3" x14ac:dyDescent="0.25">
      <c r="C43" s="1" t="s">
        <v>345</v>
      </c>
    </row>
    <row r="44" spans="1:3" x14ac:dyDescent="0.25">
      <c r="C44" s="1" t="s">
        <v>346</v>
      </c>
    </row>
    <row r="46" spans="1:3" x14ac:dyDescent="0.25">
      <c r="A46" s="1">
        <v>4</v>
      </c>
      <c r="B46" s="1" t="s">
        <v>330</v>
      </c>
    </row>
  </sheetData>
  <conditionalFormatting sqref="B5">
    <cfRule type="cellIs" dxfId="76" priority="1" operator="equal">
      <formula>"N"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9ABB-EAF2-46DE-A0D9-A33418203035}">
  <dimension ref="A1:I31"/>
  <sheetViews>
    <sheetView workbookViewId="0">
      <selection activeCell="I3" sqref="I3:I91"/>
    </sheetView>
  </sheetViews>
  <sheetFormatPr defaultRowHeight="15" x14ac:dyDescent="0.25"/>
  <cols>
    <col min="1" max="1" width="9.140625" style="1"/>
    <col min="2" max="2" width="21" style="1" bestFit="1" customWidth="1"/>
    <col min="3" max="3" width="16.7109375" style="1" bestFit="1" customWidth="1"/>
    <col min="4" max="4" width="20.85546875" style="1" bestFit="1" customWidth="1"/>
    <col min="5" max="5" width="15.42578125" style="1" customWidth="1"/>
    <col min="6" max="6" width="60.28515625" style="1" customWidth="1"/>
    <col min="7" max="7" width="18.42578125" style="1" bestFit="1" customWidth="1"/>
    <col min="8" max="8" width="17" style="1" bestFit="1" customWidth="1"/>
    <col min="9" max="9" width="19.85546875" style="1" bestFit="1" customWidth="1"/>
    <col min="10" max="16384" width="9.140625" style="1"/>
  </cols>
  <sheetData>
    <row r="1" spans="1:9" x14ac:dyDescent="0.25">
      <c r="A1" s="1" t="s">
        <v>311</v>
      </c>
    </row>
    <row r="2" spans="1:9" x14ac:dyDescent="0.25">
      <c r="B2" s="5" t="s">
        <v>312</v>
      </c>
      <c r="C2" s="5" t="s">
        <v>325</v>
      </c>
      <c r="D2" s="5" t="s">
        <v>326</v>
      </c>
      <c r="E2" s="5"/>
    </row>
    <row r="3" spans="1:9" x14ac:dyDescent="0.25">
      <c r="B3" s="4" t="s">
        <v>2</v>
      </c>
      <c r="C3" s="4" t="s">
        <v>1</v>
      </c>
      <c r="D3" s="4" t="s">
        <v>0</v>
      </c>
      <c r="E3" s="4" t="s">
        <v>313</v>
      </c>
      <c r="G3" s="4" t="s">
        <v>314</v>
      </c>
      <c r="H3" s="4" t="s">
        <v>315</v>
      </c>
      <c r="I3" s="4" t="s">
        <v>316</v>
      </c>
    </row>
    <row r="4" spans="1:9" x14ac:dyDescent="0.25">
      <c r="B4" s="5" t="s">
        <v>5</v>
      </c>
      <c r="C4" s="5" t="s">
        <v>281</v>
      </c>
      <c r="D4" s="5" t="s">
        <v>3</v>
      </c>
      <c r="E4" s="5" t="str">
        <f>VLOOKUP(C4,G:H,2,FALSE)</f>
        <v>Y</v>
      </c>
      <c r="G4" s="5" t="s">
        <v>281</v>
      </c>
      <c r="H4" s="5" t="s">
        <v>317</v>
      </c>
      <c r="I4" s="5" t="s">
        <v>317</v>
      </c>
    </row>
    <row r="5" spans="1:9" x14ac:dyDescent="0.25">
      <c r="B5" s="5" t="s">
        <v>125</v>
      </c>
      <c r="C5" s="5" t="s">
        <v>282</v>
      </c>
      <c r="D5" s="5" t="s">
        <v>123</v>
      </c>
      <c r="E5" s="5" t="str">
        <f>VLOOKUP(C5,G:H,2,FALSE)</f>
        <v>Y</v>
      </c>
      <c r="G5" s="5" t="s">
        <v>282</v>
      </c>
      <c r="H5" s="5" t="s">
        <v>317</v>
      </c>
      <c r="I5" s="5" t="s">
        <v>317</v>
      </c>
    </row>
    <row r="6" spans="1:9" x14ac:dyDescent="0.25">
      <c r="B6" s="5" t="s">
        <v>130</v>
      </c>
      <c r="C6" s="5" t="s">
        <v>283</v>
      </c>
      <c r="D6" s="5" t="s">
        <v>128</v>
      </c>
      <c r="E6" s="5" t="str">
        <f>VLOOKUP(C6,G:H,2,FALSE)</f>
        <v>Y</v>
      </c>
      <c r="G6" s="6" t="s">
        <v>318</v>
      </c>
      <c r="H6" s="7" t="s">
        <v>319</v>
      </c>
      <c r="I6" s="7" t="s">
        <v>319</v>
      </c>
    </row>
    <row r="7" spans="1:9" x14ac:dyDescent="0.25">
      <c r="B7" s="5" t="s">
        <v>137</v>
      </c>
      <c r="C7" s="5" t="s">
        <v>284</v>
      </c>
      <c r="D7" s="5" t="s">
        <v>135</v>
      </c>
      <c r="E7" s="5" t="str">
        <f>VLOOKUP(C7,G:H,2,FALSE)</f>
        <v>Y</v>
      </c>
      <c r="G7" s="5" t="s">
        <v>283</v>
      </c>
      <c r="H7" s="5" t="s">
        <v>317</v>
      </c>
      <c r="I7" s="5" t="s">
        <v>317</v>
      </c>
    </row>
    <row r="8" spans="1:9" x14ac:dyDescent="0.25">
      <c r="B8" s="5" t="s">
        <v>146</v>
      </c>
      <c r="C8" s="5" t="s">
        <v>285</v>
      </c>
      <c r="D8" s="5" t="s">
        <v>144</v>
      </c>
      <c r="E8" s="5" t="str">
        <f>VLOOKUP(C8,G:H,2,FALSE)</f>
        <v>Y</v>
      </c>
      <c r="G8" s="5" t="s">
        <v>284</v>
      </c>
      <c r="H8" s="5" t="s">
        <v>317</v>
      </c>
      <c r="I8" s="5" t="s">
        <v>317</v>
      </c>
    </row>
    <row r="9" spans="1:9" x14ac:dyDescent="0.25">
      <c r="B9" s="5" t="s">
        <v>153</v>
      </c>
      <c r="C9" s="5" t="s">
        <v>286</v>
      </c>
      <c r="D9" s="5" t="s">
        <v>151</v>
      </c>
      <c r="E9" s="5" t="str">
        <f>VLOOKUP(C9,G:H,2,FALSE)</f>
        <v>Y</v>
      </c>
      <c r="G9" s="5" t="s">
        <v>285</v>
      </c>
      <c r="H9" s="5" t="s">
        <v>317</v>
      </c>
      <c r="I9" s="5" t="s">
        <v>317</v>
      </c>
    </row>
    <row r="10" spans="1:9" x14ac:dyDescent="0.25">
      <c r="B10" s="5" t="s">
        <v>157</v>
      </c>
      <c r="C10" s="5" t="s">
        <v>287</v>
      </c>
      <c r="D10" s="5" t="s">
        <v>155</v>
      </c>
      <c r="E10" s="5" t="str">
        <f>VLOOKUP(C10,G:H,2,FALSE)</f>
        <v>Y</v>
      </c>
      <c r="G10" s="5" t="s">
        <v>286</v>
      </c>
      <c r="H10" s="5" t="s">
        <v>317</v>
      </c>
      <c r="I10" s="5" t="s">
        <v>317</v>
      </c>
    </row>
    <row r="11" spans="1:9" x14ac:dyDescent="0.25">
      <c r="B11" s="5" t="s">
        <v>162</v>
      </c>
      <c r="C11" s="5" t="s">
        <v>288</v>
      </c>
      <c r="D11" s="5" t="s">
        <v>160</v>
      </c>
      <c r="E11" s="5" t="str">
        <f>VLOOKUP(C11,G:H,2,FALSE)</f>
        <v>Y</v>
      </c>
      <c r="G11" s="5" t="s">
        <v>287</v>
      </c>
      <c r="H11" s="5" t="s">
        <v>317</v>
      </c>
      <c r="I11" s="5" t="s">
        <v>317</v>
      </c>
    </row>
    <row r="12" spans="1:9" x14ac:dyDescent="0.25">
      <c r="B12" s="5" t="s">
        <v>165</v>
      </c>
      <c r="C12" s="5" t="s">
        <v>289</v>
      </c>
      <c r="D12" s="5" t="s">
        <v>163</v>
      </c>
      <c r="E12" s="5" t="str">
        <f>VLOOKUP(C12,G:H,2,FALSE)</f>
        <v>Y</v>
      </c>
      <c r="G12" s="5" t="s">
        <v>288</v>
      </c>
      <c r="H12" s="5" t="s">
        <v>317</v>
      </c>
      <c r="I12" s="5" t="s">
        <v>317</v>
      </c>
    </row>
    <row r="13" spans="1:9" x14ac:dyDescent="0.25">
      <c r="B13" s="5" t="s">
        <v>168</v>
      </c>
      <c r="C13" s="5" t="s">
        <v>290</v>
      </c>
      <c r="D13" s="5" t="s">
        <v>166</v>
      </c>
      <c r="E13" s="5" t="str">
        <f>VLOOKUP(C13,G:H,2,FALSE)</f>
        <v>Y</v>
      </c>
      <c r="G13" s="5" t="s">
        <v>289</v>
      </c>
      <c r="H13" s="5" t="s">
        <v>317</v>
      </c>
      <c r="I13" s="5" t="s">
        <v>317</v>
      </c>
    </row>
    <row r="14" spans="1:9" x14ac:dyDescent="0.25">
      <c r="B14" s="5" t="s">
        <v>171</v>
      </c>
      <c r="C14" s="5" t="s">
        <v>291</v>
      </c>
      <c r="D14" s="5" t="s">
        <v>169</v>
      </c>
      <c r="E14" s="5" t="str">
        <f>VLOOKUP(C14,G:H,2,FALSE)</f>
        <v>Y</v>
      </c>
      <c r="G14" s="5" t="s">
        <v>290</v>
      </c>
      <c r="H14" s="5" t="s">
        <v>317</v>
      </c>
      <c r="I14" s="5" t="s">
        <v>317</v>
      </c>
    </row>
    <row r="15" spans="1:9" x14ac:dyDescent="0.25">
      <c r="B15" s="5" t="s">
        <v>176</v>
      </c>
      <c r="C15" s="5" t="s">
        <v>292</v>
      </c>
      <c r="D15" s="5" t="s">
        <v>174</v>
      </c>
      <c r="E15" s="5" t="str">
        <f>VLOOKUP(C15,G:H,2,FALSE)</f>
        <v>Y</v>
      </c>
      <c r="G15" s="5" t="s">
        <v>291</v>
      </c>
      <c r="H15" s="5" t="s">
        <v>317</v>
      </c>
      <c r="I15" s="5" t="s">
        <v>317</v>
      </c>
    </row>
    <row r="16" spans="1:9" x14ac:dyDescent="0.25">
      <c r="B16" s="5" t="s">
        <v>184</v>
      </c>
      <c r="C16" s="5" t="s">
        <v>293</v>
      </c>
      <c r="D16" s="5" t="s">
        <v>182</v>
      </c>
      <c r="E16" s="5" t="str">
        <f>VLOOKUP(C16,G:H,2,FALSE)</f>
        <v>Y</v>
      </c>
      <c r="G16" s="5" t="s">
        <v>292</v>
      </c>
      <c r="H16" s="5" t="s">
        <v>317</v>
      </c>
      <c r="I16" s="5" t="s">
        <v>317</v>
      </c>
    </row>
    <row r="17" spans="2:9" x14ac:dyDescent="0.25">
      <c r="B17" s="5" t="s">
        <v>192</v>
      </c>
      <c r="C17" s="5" t="s">
        <v>294</v>
      </c>
      <c r="D17" s="5" t="s">
        <v>190</v>
      </c>
      <c r="E17" s="5" t="str">
        <f>VLOOKUP(C17,G:H,2,FALSE)</f>
        <v>Y</v>
      </c>
      <c r="G17" s="5" t="s">
        <v>293</v>
      </c>
      <c r="H17" s="5" t="s">
        <v>317</v>
      </c>
      <c r="I17" s="5" t="s">
        <v>317</v>
      </c>
    </row>
    <row r="18" spans="2:9" x14ac:dyDescent="0.25">
      <c r="B18" s="5" t="s">
        <v>197</v>
      </c>
      <c r="C18" s="5" t="s">
        <v>295</v>
      </c>
      <c r="D18" s="5" t="s">
        <v>195</v>
      </c>
      <c r="E18" s="5" t="str">
        <f>VLOOKUP(C18,G:H,2,FALSE)</f>
        <v>Y</v>
      </c>
      <c r="G18" s="5" t="s">
        <v>294</v>
      </c>
      <c r="H18" s="5" t="s">
        <v>317</v>
      </c>
      <c r="I18" s="5" t="s">
        <v>317</v>
      </c>
    </row>
    <row r="19" spans="2:9" x14ac:dyDescent="0.25">
      <c r="B19" s="5" t="s">
        <v>204</v>
      </c>
      <c r="C19" s="5" t="s">
        <v>296</v>
      </c>
      <c r="D19" s="5" t="s">
        <v>202</v>
      </c>
      <c r="E19" s="5" t="str">
        <f>VLOOKUP(C19,G:H,2,FALSE)</f>
        <v>Y</v>
      </c>
      <c r="G19" s="5" t="s">
        <v>295</v>
      </c>
      <c r="H19" s="5" t="s">
        <v>317</v>
      </c>
      <c r="I19" s="5" t="s">
        <v>317</v>
      </c>
    </row>
    <row r="20" spans="2:9" x14ac:dyDescent="0.25">
      <c r="B20" s="5" t="s">
        <v>211</v>
      </c>
      <c r="C20" s="5" t="s">
        <v>297</v>
      </c>
      <c r="D20" s="5" t="s">
        <v>209</v>
      </c>
      <c r="E20" s="5" t="str">
        <f>VLOOKUP(C20,G:H,2,FALSE)</f>
        <v>Y</v>
      </c>
      <c r="G20" s="5" t="s">
        <v>296</v>
      </c>
      <c r="H20" s="5" t="s">
        <v>317</v>
      </c>
      <c r="I20" s="5" t="s">
        <v>317</v>
      </c>
    </row>
    <row r="21" spans="2:9" x14ac:dyDescent="0.25">
      <c r="B21" s="5" t="s">
        <v>218</v>
      </c>
      <c r="C21" s="5" t="s">
        <v>298</v>
      </c>
      <c r="D21" s="5" t="s">
        <v>216</v>
      </c>
      <c r="E21" s="5" t="str">
        <f>VLOOKUP(C21,G:H,2,FALSE)</f>
        <v>Y</v>
      </c>
      <c r="G21" s="5" t="s">
        <v>297</v>
      </c>
      <c r="H21" s="5" t="s">
        <v>317</v>
      </c>
      <c r="I21" s="5" t="s">
        <v>317</v>
      </c>
    </row>
    <row r="22" spans="2:9" x14ac:dyDescent="0.25">
      <c r="B22" s="5" t="s">
        <v>221</v>
      </c>
      <c r="C22" s="5" t="s">
        <v>299</v>
      </c>
      <c r="D22" s="5" t="s">
        <v>219</v>
      </c>
      <c r="E22" s="5" t="str">
        <f>VLOOKUP(C22,G:H,2,FALSE)</f>
        <v>Y</v>
      </c>
      <c r="G22" s="5" t="s">
        <v>298</v>
      </c>
      <c r="H22" s="5" t="s">
        <v>317</v>
      </c>
      <c r="I22" s="5" t="s">
        <v>317</v>
      </c>
    </row>
    <row r="23" spans="2:9" x14ac:dyDescent="0.25">
      <c r="B23" s="5" t="s">
        <v>225</v>
      </c>
      <c r="C23" s="5" t="s">
        <v>300</v>
      </c>
      <c r="D23" s="5" t="s">
        <v>223</v>
      </c>
      <c r="E23" s="5" t="str">
        <f>VLOOKUP(C23,G:H,2,FALSE)</f>
        <v>Y</v>
      </c>
      <c r="G23" s="5" t="s">
        <v>299</v>
      </c>
      <c r="H23" s="5" t="s">
        <v>317</v>
      </c>
      <c r="I23" s="5" t="s">
        <v>317</v>
      </c>
    </row>
    <row r="24" spans="2:9" x14ac:dyDescent="0.25">
      <c r="B24" s="5" t="s">
        <v>228</v>
      </c>
      <c r="C24" s="5" t="s">
        <v>301</v>
      </c>
      <c r="D24" s="5" t="s">
        <v>226</v>
      </c>
      <c r="E24" s="5" t="str">
        <f>VLOOKUP(C24,G:H,2,FALSE)</f>
        <v>Y</v>
      </c>
      <c r="G24" s="5" t="s">
        <v>300</v>
      </c>
      <c r="H24" s="5" t="s">
        <v>317</v>
      </c>
      <c r="I24" s="5" t="s">
        <v>317</v>
      </c>
    </row>
    <row r="25" spans="2:9" x14ac:dyDescent="0.25">
      <c r="B25" s="5" t="s">
        <v>231</v>
      </c>
      <c r="C25" s="5" t="s">
        <v>302</v>
      </c>
      <c r="D25" s="5" t="s">
        <v>229</v>
      </c>
      <c r="E25" s="5" t="str">
        <f>VLOOKUP(C25,G:H,2,FALSE)</f>
        <v>N</v>
      </c>
      <c r="G25" s="5" t="s">
        <v>301</v>
      </c>
      <c r="H25" s="5" t="s">
        <v>317</v>
      </c>
      <c r="I25" s="5" t="s">
        <v>317</v>
      </c>
    </row>
    <row r="26" spans="2:9" x14ac:dyDescent="0.25">
      <c r="B26" s="5" t="s">
        <v>237</v>
      </c>
      <c r="C26" s="5" t="s">
        <v>303</v>
      </c>
      <c r="D26" s="5" t="s">
        <v>235</v>
      </c>
      <c r="E26" s="5" t="str">
        <f>VLOOKUP(C26,G:H,2,FALSE)</f>
        <v>N</v>
      </c>
      <c r="G26" s="6" t="s">
        <v>320</v>
      </c>
      <c r="H26" s="7" t="s">
        <v>319</v>
      </c>
      <c r="I26" s="7" t="s">
        <v>319</v>
      </c>
    </row>
    <row r="27" spans="2:9" x14ac:dyDescent="0.25">
      <c r="B27" s="5" t="s">
        <v>240</v>
      </c>
      <c r="C27" s="5" t="s">
        <v>304</v>
      </c>
      <c r="D27" s="5" t="s">
        <v>238</v>
      </c>
      <c r="E27" s="5" t="str">
        <f>VLOOKUP(C27,G:H,2,FALSE)</f>
        <v>N</v>
      </c>
      <c r="G27" s="5" t="s">
        <v>302</v>
      </c>
      <c r="H27" s="7" t="s">
        <v>319</v>
      </c>
      <c r="I27" s="5" t="s">
        <v>317</v>
      </c>
    </row>
    <row r="28" spans="2:9" x14ac:dyDescent="0.25">
      <c r="B28" s="5" t="s">
        <v>275</v>
      </c>
      <c r="C28" s="5" t="s">
        <v>305</v>
      </c>
      <c r="D28" s="5" t="s">
        <v>273</v>
      </c>
      <c r="E28" s="5" t="str">
        <f>VLOOKUP(C28,G:H,2,FALSE)</f>
        <v>Y</v>
      </c>
      <c r="G28" s="5" t="s">
        <v>303</v>
      </c>
      <c r="H28" s="7" t="s">
        <v>319</v>
      </c>
      <c r="I28" s="5" t="s">
        <v>317</v>
      </c>
    </row>
    <row r="29" spans="2:9" ht="45" x14ac:dyDescent="0.25">
      <c r="B29" s="5" t="s">
        <v>321</v>
      </c>
      <c r="C29" s="5"/>
      <c r="D29" s="5" t="s">
        <v>322</v>
      </c>
      <c r="E29" s="5"/>
      <c r="F29" s="8" t="s">
        <v>323</v>
      </c>
      <c r="G29" s="5" t="s">
        <v>304</v>
      </c>
      <c r="H29" s="7" t="s">
        <v>319</v>
      </c>
      <c r="I29" s="5" t="s">
        <v>317</v>
      </c>
    </row>
    <row r="30" spans="2:9" x14ac:dyDescent="0.25">
      <c r="G30" s="5" t="s">
        <v>305</v>
      </c>
      <c r="H30" s="5" t="s">
        <v>317</v>
      </c>
      <c r="I30" s="5" t="s">
        <v>317</v>
      </c>
    </row>
    <row r="31" spans="2:9" x14ac:dyDescent="0.25">
      <c r="G31" s="6" t="s">
        <v>324</v>
      </c>
      <c r="H31" s="7" t="s">
        <v>319</v>
      </c>
      <c r="I31" s="7" t="s">
        <v>319</v>
      </c>
    </row>
  </sheetData>
  <conditionalFormatting sqref="E4:E29">
    <cfRule type="cellIs" dxfId="75" priority="1" operator="equal">
      <formula>"N"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workbookViewId="0">
      <pane xSplit="1" ySplit="1" topLeftCell="B2" activePane="bottomRight" state="frozen"/>
      <selection activeCell="I3" sqref="I3:I91"/>
      <selection pane="topRight" activeCell="I3" sqref="I3:I91"/>
      <selection pane="bottomLeft" activeCell="I3" sqref="I3:I91"/>
      <selection pane="bottomRight" activeCell="I3" sqref="I3:I91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7.5703125" style="1" bestFit="1" customWidth="1"/>
    <col min="5" max="5" width="24" style="1" bestFit="1" customWidth="1"/>
    <col min="6" max="6" width="7.42578125" style="1" bestFit="1" customWidth="1"/>
    <col min="7" max="7" width="27.85546875" style="1" customWidth="1"/>
    <col min="8" max="8" width="5.85546875" style="1" bestFit="1" customWidth="1"/>
    <col min="9" max="9" width="24" style="1" bestFit="1" customWidth="1"/>
    <col min="10" max="10" width="25.42578125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13"/>
      <c r="G1" s="13"/>
      <c r="H1" s="14"/>
    </row>
    <row r="2" spans="1:10" x14ac:dyDescent="0.25">
      <c r="A2" s="3" t="s">
        <v>333</v>
      </c>
      <c r="B2" s="12" t="s">
        <v>3</v>
      </c>
      <c r="C2" s="12" t="s">
        <v>5</v>
      </c>
      <c r="D2" s="5" t="s">
        <v>336</v>
      </c>
      <c r="E2" s="12" t="s">
        <v>4</v>
      </c>
      <c r="F2" s="14" t="s">
        <v>337</v>
      </c>
      <c r="G2" s="14"/>
      <c r="H2" s="5" t="s">
        <v>351</v>
      </c>
      <c r="I2" s="16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5" t="s">
        <v>6</v>
      </c>
      <c r="F3" s="5" t="str">
        <f>IF(C3=E3,"Y","N")</f>
        <v>Y</v>
      </c>
      <c r="G3" s="14"/>
      <c r="H3" s="5">
        <v>1</v>
      </c>
      <c r="I3" s="16" t="s">
        <v>13</v>
      </c>
      <c r="J3" s="5" t="s">
        <v>339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5" t="s">
        <v>8</v>
      </c>
      <c r="F4" s="5" t="str">
        <f t="shared" ref="F4:F67" si="0">IF(C4=E4,"Y","N")</f>
        <v>Y</v>
      </c>
      <c r="G4" s="14"/>
      <c r="H4" s="5">
        <v>2</v>
      </c>
      <c r="I4" s="16" t="s">
        <v>20</v>
      </c>
      <c r="J4" s="5" t="s">
        <v>339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5" t="s">
        <v>9</v>
      </c>
      <c r="F5" s="5" t="str">
        <f t="shared" si="0"/>
        <v>Y</v>
      </c>
      <c r="G5" s="14"/>
      <c r="H5" s="5">
        <v>3</v>
      </c>
      <c r="I5" s="16" t="s">
        <v>22</v>
      </c>
      <c r="J5" s="5" t="s">
        <v>339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5" t="s">
        <v>10</v>
      </c>
      <c r="F6" s="5" t="str">
        <f t="shared" si="0"/>
        <v>Y</v>
      </c>
      <c r="G6" s="14"/>
      <c r="H6" s="5">
        <v>4</v>
      </c>
      <c r="I6" s="16" t="s">
        <v>25</v>
      </c>
      <c r="J6" s="5" t="s">
        <v>340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5" t="s">
        <v>11</v>
      </c>
      <c r="F7" s="5" t="str">
        <f t="shared" si="0"/>
        <v>Y</v>
      </c>
      <c r="G7" s="14"/>
      <c r="H7" s="5">
        <v>5</v>
      </c>
      <c r="I7" s="16" t="s">
        <v>27</v>
      </c>
      <c r="J7" s="5" t="s">
        <v>339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5" t="s">
        <v>16</v>
      </c>
      <c r="F8" s="5" t="str">
        <f t="shared" si="0"/>
        <v>N</v>
      </c>
      <c r="G8" s="14"/>
      <c r="H8" s="5">
        <v>6</v>
      </c>
      <c r="I8" s="16" t="s">
        <v>29</v>
      </c>
      <c r="J8" s="5" t="s">
        <v>339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5" t="s">
        <v>18</v>
      </c>
      <c r="F9" s="5" t="str">
        <f t="shared" si="0"/>
        <v>N</v>
      </c>
      <c r="G9" s="14"/>
      <c r="H9" s="5">
        <v>7</v>
      </c>
      <c r="I9" s="16" t="s">
        <v>52</v>
      </c>
      <c r="J9" s="5" t="s">
        <v>339</v>
      </c>
    </row>
    <row r="10" spans="1:10" x14ac:dyDescent="0.25">
      <c r="A10" s="10"/>
      <c r="B10" s="5" t="s">
        <v>15</v>
      </c>
      <c r="C10" s="5" t="s">
        <v>15</v>
      </c>
      <c r="D10" s="5" t="str">
        <f>IF(B10=C10,"Y","N")</f>
        <v>Y</v>
      </c>
      <c r="E10" s="5" t="s">
        <v>15</v>
      </c>
      <c r="F10" s="5" t="str">
        <f t="shared" si="0"/>
        <v>Y</v>
      </c>
      <c r="G10" s="14"/>
      <c r="H10" s="5">
        <v>8</v>
      </c>
      <c r="I10" s="16" t="s">
        <v>87</v>
      </c>
      <c r="J10" s="5" t="s">
        <v>339</v>
      </c>
    </row>
    <row r="11" spans="1:10" x14ac:dyDescent="0.25">
      <c r="A11" s="10"/>
      <c r="B11" s="5" t="s">
        <v>17</v>
      </c>
      <c r="C11" s="5" t="s">
        <v>17</v>
      </c>
      <c r="D11" s="5" t="str">
        <f>IF(B11=C11,"Y","N")</f>
        <v>Y</v>
      </c>
      <c r="E11" s="5" t="s">
        <v>31</v>
      </c>
      <c r="F11" s="5" t="str">
        <f t="shared" si="0"/>
        <v>N</v>
      </c>
      <c r="G11" s="14"/>
      <c r="H11" s="5">
        <v>9</v>
      </c>
      <c r="I11" s="16" t="s">
        <v>94</v>
      </c>
      <c r="J11" s="5" t="s">
        <v>339</v>
      </c>
    </row>
    <row r="12" spans="1:10" x14ac:dyDescent="0.25">
      <c r="A12" s="10"/>
      <c r="B12" s="5" t="s">
        <v>19</v>
      </c>
      <c r="C12" s="5" t="s">
        <v>19</v>
      </c>
      <c r="D12" s="5" t="str">
        <f>IF(B12=C12,"Y","N")</f>
        <v>Y</v>
      </c>
      <c r="E12" s="5" t="s">
        <v>33</v>
      </c>
      <c r="F12" s="5" t="str">
        <f t="shared" si="0"/>
        <v>N</v>
      </c>
      <c r="G12" s="14"/>
      <c r="H12" s="5">
        <v>10</v>
      </c>
      <c r="I12" s="16" t="s">
        <v>99</v>
      </c>
      <c r="J12" s="5" t="s">
        <v>339</v>
      </c>
    </row>
    <row r="13" spans="1:10" x14ac:dyDescent="0.25">
      <c r="A13" s="10"/>
      <c r="B13" s="5" t="s">
        <v>21</v>
      </c>
      <c r="C13" s="5" t="s">
        <v>21</v>
      </c>
      <c r="D13" s="5" t="str">
        <f>IF(B13=C13,"Y","N")</f>
        <v>Y</v>
      </c>
      <c r="E13" s="5" t="s">
        <v>35</v>
      </c>
      <c r="F13" s="5" t="str">
        <f t="shared" si="0"/>
        <v>N</v>
      </c>
      <c r="G13" s="14"/>
      <c r="H13" s="5">
        <v>11</v>
      </c>
      <c r="I13" s="16" t="s">
        <v>104</v>
      </c>
      <c r="J13" s="5" t="s">
        <v>339</v>
      </c>
    </row>
    <row r="14" spans="1:10" x14ac:dyDescent="0.25">
      <c r="A14" s="10"/>
      <c r="B14" s="5" t="s">
        <v>23</v>
      </c>
      <c r="C14" s="5" t="s">
        <v>23</v>
      </c>
      <c r="D14" s="5" t="str">
        <f>IF(B14=C14,"Y","N")</f>
        <v>Y</v>
      </c>
      <c r="E14" s="5" t="s">
        <v>37</v>
      </c>
      <c r="F14" s="5" t="str">
        <f t="shared" si="0"/>
        <v>N</v>
      </c>
      <c r="G14" s="14"/>
      <c r="H14" s="5">
        <v>12</v>
      </c>
      <c r="I14" s="16" t="s">
        <v>107</v>
      </c>
      <c r="J14" s="5" t="s">
        <v>339</v>
      </c>
    </row>
    <row r="15" spans="1:10" x14ac:dyDescent="0.25">
      <c r="A15" s="10"/>
      <c r="B15" s="5" t="s">
        <v>24</v>
      </c>
      <c r="C15" s="5" t="s">
        <v>24</v>
      </c>
      <c r="D15" s="5" t="str">
        <f>IF(B15=C15,"Y","N")</f>
        <v>Y</v>
      </c>
      <c r="E15" s="5" t="s">
        <v>39</v>
      </c>
      <c r="F15" s="5" t="str">
        <f t="shared" si="0"/>
        <v>N</v>
      </c>
      <c r="G15" s="14"/>
      <c r="H15" s="5">
        <v>13</v>
      </c>
      <c r="I15" s="16" t="s">
        <v>109</v>
      </c>
      <c r="J15" s="5" t="s">
        <v>339</v>
      </c>
    </row>
    <row r="16" spans="1:10" x14ac:dyDescent="0.25">
      <c r="A16" s="10"/>
      <c r="B16" s="5" t="s">
        <v>26</v>
      </c>
      <c r="C16" s="5" t="s">
        <v>26</v>
      </c>
      <c r="D16" s="5" t="str">
        <f>IF(B16=C16,"Y","N")</f>
        <v>Y</v>
      </c>
      <c r="E16" s="5" t="s">
        <v>41</v>
      </c>
      <c r="F16" s="5" t="str">
        <f t="shared" si="0"/>
        <v>N</v>
      </c>
      <c r="G16" s="14"/>
      <c r="H16" s="5">
        <v>14</v>
      </c>
      <c r="I16" s="16" t="s">
        <v>113</v>
      </c>
      <c r="J16" s="5" t="s">
        <v>339</v>
      </c>
    </row>
    <row r="17" spans="1:10" x14ac:dyDescent="0.25">
      <c r="A17" s="10"/>
      <c r="B17" s="5" t="s">
        <v>28</v>
      </c>
      <c r="C17" s="5" t="s">
        <v>28</v>
      </c>
      <c r="D17" s="5" t="str">
        <f>IF(B17=C17,"Y","N")</f>
        <v>Y</v>
      </c>
      <c r="E17" s="5" t="s">
        <v>43</v>
      </c>
      <c r="F17" s="5" t="str">
        <f t="shared" si="0"/>
        <v>N</v>
      </c>
      <c r="G17" s="14"/>
      <c r="H17" s="5">
        <v>15</v>
      </c>
      <c r="I17" s="16" t="s">
        <v>114</v>
      </c>
      <c r="J17" s="5" t="s">
        <v>339</v>
      </c>
    </row>
    <row r="18" spans="1:10" x14ac:dyDescent="0.25">
      <c r="A18" s="10"/>
      <c r="B18" s="5" t="s">
        <v>30</v>
      </c>
      <c r="C18" s="5" t="s">
        <v>30</v>
      </c>
      <c r="D18" s="5" t="str">
        <f>IF(B18=C18,"Y","N")</f>
        <v>Y</v>
      </c>
      <c r="E18" s="5" t="s">
        <v>30</v>
      </c>
      <c r="F18" s="5" t="str">
        <f t="shared" si="0"/>
        <v>Y</v>
      </c>
      <c r="G18" s="14"/>
      <c r="H18" s="5">
        <v>16</v>
      </c>
      <c r="I18" s="16" t="s">
        <v>115</v>
      </c>
      <c r="J18" s="5" t="s">
        <v>339</v>
      </c>
    </row>
    <row r="19" spans="1:10" x14ac:dyDescent="0.25">
      <c r="A19" s="10"/>
      <c r="B19" s="5" t="s">
        <v>32</v>
      </c>
      <c r="C19" s="5" t="s">
        <v>32</v>
      </c>
      <c r="D19" s="5" t="str">
        <f>IF(B19=C19,"Y","N")</f>
        <v>Y</v>
      </c>
      <c r="E19" s="5" t="s">
        <v>32</v>
      </c>
      <c r="F19" s="5" t="str">
        <f t="shared" si="0"/>
        <v>Y</v>
      </c>
      <c r="G19" s="14"/>
      <c r="H19" s="5">
        <v>17</v>
      </c>
      <c r="I19" s="16" t="s">
        <v>116</v>
      </c>
      <c r="J19" s="5" t="s">
        <v>339</v>
      </c>
    </row>
    <row r="20" spans="1:10" x14ac:dyDescent="0.25">
      <c r="A20" s="10"/>
      <c r="B20" s="5" t="s">
        <v>34</v>
      </c>
      <c r="C20" s="5" t="s">
        <v>34</v>
      </c>
      <c r="D20" s="5" t="str">
        <f>IF(B20=C20,"Y","N")</f>
        <v>Y</v>
      </c>
      <c r="E20" s="5" t="s">
        <v>34</v>
      </c>
      <c r="F20" s="5" t="str">
        <f t="shared" si="0"/>
        <v>Y</v>
      </c>
      <c r="G20" s="14"/>
      <c r="H20" s="5">
        <v>18</v>
      </c>
      <c r="I20" s="16" t="s">
        <v>117</v>
      </c>
      <c r="J20" s="5" t="s">
        <v>339</v>
      </c>
    </row>
    <row r="21" spans="1:10" x14ac:dyDescent="0.25">
      <c r="A21" s="10"/>
      <c r="B21" s="5" t="s">
        <v>36</v>
      </c>
      <c r="C21" s="5" t="s">
        <v>36</v>
      </c>
      <c r="D21" s="5" t="str">
        <f>IF(B21=C21,"Y","N")</f>
        <v>Y</v>
      </c>
      <c r="E21" s="5" t="s">
        <v>36</v>
      </c>
      <c r="F21" s="5" t="str">
        <f t="shared" si="0"/>
        <v>Y</v>
      </c>
      <c r="G21" s="14"/>
      <c r="H21" s="5">
        <v>19</v>
      </c>
      <c r="I21" s="16" t="s">
        <v>118</v>
      </c>
      <c r="J21" s="5" t="s">
        <v>339</v>
      </c>
    </row>
    <row r="22" spans="1:10" x14ac:dyDescent="0.25">
      <c r="A22" s="10"/>
      <c r="B22" s="5" t="s">
        <v>38</v>
      </c>
      <c r="C22" s="5" t="s">
        <v>38</v>
      </c>
      <c r="D22" s="5" t="str">
        <f>IF(B22=C22,"Y","N")</f>
        <v>Y</v>
      </c>
      <c r="E22" s="5" t="s">
        <v>38</v>
      </c>
      <c r="F22" s="5" t="str">
        <f t="shared" si="0"/>
        <v>Y</v>
      </c>
      <c r="G22" s="14"/>
      <c r="H22" s="5">
        <v>20</v>
      </c>
      <c r="I22" s="16" t="s">
        <v>119</v>
      </c>
      <c r="J22" s="5" t="s">
        <v>339</v>
      </c>
    </row>
    <row r="23" spans="1:10" x14ac:dyDescent="0.25">
      <c r="A23" s="10"/>
      <c r="B23" s="5" t="s">
        <v>40</v>
      </c>
      <c r="C23" s="5" t="s">
        <v>40</v>
      </c>
      <c r="D23" s="5" t="str">
        <f>IF(B23=C23,"Y","N")</f>
        <v>Y</v>
      </c>
      <c r="E23" s="5" t="s">
        <v>40</v>
      </c>
      <c r="F23" s="5" t="str">
        <f t="shared" si="0"/>
        <v>Y</v>
      </c>
      <c r="G23" s="14"/>
      <c r="H23" s="5">
        <v>21</v>
      </c>
      <c r="I23" s="16" t="s">
        <v>120</v>
      </c>
      <c r="J23" s="5" t="s">
        <v>339</v>
      </c>
    </row>
    <row r="24" spans="1:10" x14ac:dyDescent="0.25">
      <c r="A24" s="10"/>
      <c r="B24" s="5" t="s">
        <v>42</v>
      </c>
      <c r="C24" s="5" t="s">
        <v>42</v>
      </c>
      <c r="D24" s="5" t="str">
        <f>IF(B24=C24,"Y","N")</f>
        <v>Y</v>
      </c>
      <c r="E24" s="5" t="s">
        <v>42</v>
      </c>
      <c r="F24" s="5" t="str">
        <f t="shared" si="0"/>
        <v>Y</v>
      </c>
      <c r="G24" s="14"/>
      <c r="H24" s="5">
        <v>22</v>
      </c>
      <c r="I24" s="16" t="s">
        <v>7</v>
      </c>
      <c r="J24" s="5" t="s">
        <v>339</v>
      </c>
    </row>
    <row r="25" spans="1:10" x14ac:dyDescent="0.25">
      <c r="A25" s="10"/>
      <c r="B25" s="5" t="s">
        <v>44</v>
      </c>
      <c r="C25" s="5" t="s">
        <v>44</v>
      </c>
      <c r="D25" s="5" t="str">
        <f>IF(B25=C25,"Y","N")</f>
        <v>Y</v>
      </c>
      <c r="E25" s="5" t="s">
        <v>44</v>
      </c>
      <c r="F25" s="5" t="str">
        <f t="shared" si="0"/>
        <v>Y</v>
      </c>
      <c r="G25" s="14"/>
      <c r="H25" s="14"/>
    </row>
    <row r="26" spans="1:10" x14ac:dyDescent="0.25">
      <c r="A26" s="10"/>
      <c r="B26" s="6" t="s">
        <v>45</v>
      </c>
      <c r="C26" s="6" t="s">
        <v>45</v>
      </c>
      <c r="D26" s="6" t="str">
        <f>IF(B26=C26,"Y","N")</f>
        <v>Y</v>
      </c>
      <c r="E26" s="6"/>
      <c r="F26" s="5" t="str">
        <f t="shared" si="0"/>
        <v>N</v>
      </c>
      <c r="G26" s="14" t="s">
        <v>341</v>
      </c>
      <c r="H26" s="14"/>
    </row>
    <row r="27" spans="1:10" x14ac:dyDescent="0.25">
      <c r="A27" s="10"/>
      <c r="B27" s="5" t="s">
        <v>46</v>
      </c>
      <c r="C27" s="5" t="s">
        <v>46</v>
      </c>
      <c r="D27" s="5" t="str">
        <f>IF(B27=C27,"Y","N")</f>
        <v>Y</v>
      </c>
      <c r="E27" s="5" t="s">
        <v>46</v>
      </c>
      <c r="F27" s="5" t="str">
        <f t="shared" si="0"/>
        <v>Y</v>
      </c>
      <c r="G27" s="14"/>
      <c r="H27" s="14"/>
    </row>
    <row r="28" spans="1:10" x14ac:dyDescent="0.25">
      <c r="A28" s="10"/>
      <c r="B28" s="5" t="s">
        <v>47</v>
      </c>
      <c r="C28" s="5" t="s">
        <v>47</v>
      </c>
      <c r="D28" s="5" t="str">
        <f>IF(B28=C28,"Y","N")</f>
        <v>Y</v>
      </c>
      <c r="E28" s="5" t="s">
        <v>56</v>
      </c>
      <c r="F28" s="5" t="str">
        <f t="shared" si="0"/>
        <v>N</v>
      </c>
      <c r="G28" s="14"/>
      <c r="H28" s="14"/>
    </row>
    <row r="29" spans="1:10" x14ac:dyDescent="0.25">
      <c r="A29" s="10"/>
      <c r="B29" s="5" t="s">
        <v>48</v>
      </c>
      <c r="C29" s="5" t="s">
        <v>48</v>
      </c>
      <c r="D29" s="5" t="str">
        <f>IF(B29=C29,"Y","N")</f>
        <v>Y</v>
      </c>
      <c r="E29" s="5" t="s">
        <v>58</v>
      </c>
      <c r="F29" s="5" t="str">
        <f t="shared" si="0"/>
        <v>N</v>
      </c>
      <c r="G29" s="14"/>
      <c r="H29" s="14"/>
    </row>
    <row r="30" spans="1:10" x14ac:dyDescent="0.25">
      <c r="A30" s="10"/>
      <c r="B30" s="5" t="s">
        <v>49</v>
      </c>
      <c r="C30" s="5" t="s">
        <v>49</v>
      </c>
      <c r="D30" s="5" t="str">
        <f>IF(B30=C30,"Y","N")</f>
        <v>Y</v>
      </c>
      <c r="E30" s="5" t="s">
        <v>60</v>
      </c>
      <c r="F30" s="5" t="str">
        <f t="shared" si="0"/>
        <v>N</v>
      </c>
      <c r="G30" s="14"/>
      <c r="H30" s="14"/>
    </row>
    <row r="31" spans="1:10" x14ac:dyDescent="0.25">
      <c r="A31" s="10"/>
      <c r="B31" s="5" t="s">
        <v>50</v>
      </c>
      <c r="C31" s="5" t="s">
        <v>50</v>
      </c>
      <c r="D31" s="5" t="str">
        <f>IF(B31=C31,"Y","N")</f>
        <v>Y</v>
      </c>
      <c r="E31" s="5" t="s">
        <v>62</v>
      </c>
      <c r="F31" s="5" t="str">
        <f t="shared" si="0"/>
        <v>N</v>
      </c>
      <c r="G31" s="14"/>
      <c r="H31" s="14"/>
    </row>
    <row r="32" spans="1:10" x14ac:dyDescent="0.25">
      <c r="A32" s="10"/>
      <c r="B32" s="5" t="s">
        <v>51</v>
      </c>
      <c r="C32" s="5" t="s">
        <v>51</v>
      </c>
      <c r="D32" s="5" t="str">
        <f>IF(B32=C32,"Y","N")</f>
        <v>Y</v>
      </c>
      <c r="E32" s="5" t="s">
        <v>64</v>
      </c>
      <c r="F32" s="5" t="str">
        <f t="shared" si="0"/>
        <v>N</v>
      </c>
      <c r="G32" s="14"/>
      <c r="H32" s="14"/>
    </row>
    <row r="33" spans="1:8" x14ac:dyDescent="0.25">
      <c r="A33" s="10"/>
      <c r="B33" s="5" t="s">
        <v>53</v>
      </c>
      <c r="C33" s="5" t="s">
        <v>53</v>
      </c>
      <c r="D33" s="5" t="str">
        <f>IF(B33=C33,"Y","N")</f>
        <v>Y</v>
      </c>
      <c r="E33" s="5" t="s">
        <v>66</v>
      </c>
      <c r="F33" s="5" t="str">
        <f t="shared" si="0"/>
        <v>N</v>
      </c>
      <c r="G33" s="14"/>
      <c r="H33" s="14"/>
    </row>
    <row r="34" spans="1:8" x14ac:dyDescent="0.25">
      <c r="A34" s="10"/>
      <c r="B34" s="5" t="s">
        <v>54</v>
      </c>
      <c r="C34" s="5" t="s">
        <v>54</v>
      </c>
      <c r="D34" s="5" t="str">
        <f>IF(B34=C34,"Y","N")</f>
        <v>Y</v>
      </c>
      <c r="E34" s="5" t="s">
        <v>68</v>
      </c>
      <c r="F34" s="5" t="str">
        <f t="shared" si="0"/>
        <v>N</v>
      </c>
      <c r="G34" s="14"/>
      <c r="H34" s="14"/>
    </row>
    <row r="35" spans="1:8" x14ac:dyDescent="0.25">
      <c r="A35" s="10"/>
      <c r="B35" s="5" t="s">
        <v>55</v>
      </c>
      <c r="C35" s="5" t="s">
        <v>55</v>
      </c>
      <c r="D35" s="5" t="str">
        <f>IF(B35=C35,"Y","N")</f>
        <v>Y</v>
      </c>
      <c r="E35" s="5" t="s">
        <v>70</v>
      </c>
      <c r="F35" s="5" t="str">
        <f t="shared" si="0"/>
        <v>N</v>
      </c>
      <c r="G35" s="14"/>
      <c r="H35" s="14"/>
    </row>
    <row r="36" spans="1:8" x14ac:dyDescent="0.25">
      <c r="A36" s="10"/>
      <c r="B36" s="5" t="s">
        <v>57</v>
      </c>
      <c r="C36" s="5" t="s">
        <v>57</v>
      </c>
      <c r="D36" s="5" t="str">
        <f>IF(B36=C36,"Y","N")</f>
        <v>Y</v>
      </c>
      <c r="E36" s="5" t="s">
        <v>72</v>
      </c>
      <c r="F36" s="5" t="str">
        <f t="shared" si="0"/>
        <v>N</v>
      </c>
      <c r="G36" s="14"/>
      <c r="H36" s="14"/>
    </row>
    <row r="37" spans="1:8" x14ac:dyDescent="0.25">
      <c r="A37" s="10"/>
      <c r="B37" s="5" t="s">
        <v>59</v>
      </c>
      <c r="C37" s="5" t="s">
        <v>59</v>
      </c>
      <c r="D37" s="5" t="str">
        <f>IF(B37=C37,"Y","N")</f>
        <v>Y</v>
      </c>
      <c r="E37" s="5" t="s">
        <v>74</v>
      </c>
      <c r="F37" s="5" t="str">
        <f t="shared" si="0"/>
        <v>N</v>
      </c>
      <c r="G37" s="14"/>
      <c r="H37" s="14"/>
    </row>
    <row r="38" spans="1:8" x14ac:dyDescent="0.25">
      <c r="A38" s="10"/>
      <c r="B38" s="5" t="s">
        <v>61</v>
      </c>
      <c r="C38" s="5" t="s">
        <v>61</v>
      </c>
      <c r="D38" s="5" t="str">
        <f>IF(B38=C38,"Y","N")</f>
        <v>Y</v>
      </c>
      <c r="E38" s="5" t="s">
        <v>76</v>
      </c>
      <c r="F38" s="5" t="str">
        <f t="shared" si="0"/>
        <v>N</v>
      </c>
      <c r="G38" s="14"/>
      <c r="H38" s="14"/>
    </row>
    <row r="39" spans="1:8" x14ac:dyDescent="0.25">
      <c r="A39" s="10"/>
      <c r="B39" s="5" t="s">
        <v>63</v>
      </c>
      <c r="C39" s="5" t="s">
        <v>63</v>
      </c>
      <c r="D39" s="5" t="str">
        <f>IF(B39=C39,"Y","N")</f>
        <v>Y</v>
      </c>
      <c r="E39" s="5" t="s">
        <v>78</v>
      </c>
      <c r="F39" s="5" t="str">
        <f t="shared" si="0"/>
        <v>N</v>
      </c>
      <c r="G39" s="14"/>
      <c r="H39" s="14"/>
    </row>
    <row r="40" spans="1:8" x14ac:dyDescent="0.25">
      <c r="A40" s="10"/>
      <c r="B40" s="5" t="s">
        <v>65</v>
      </c>
      <c r="C40" s="5" t="s">
        <v>65</v>
      </c>
      <c r="D40" s="5" t="str">
        <f>IF(B40=C40,"Y","N")</f>
        <v>Y</v>
      </c>
      <c r="E40" s="5" t="s">
        <v>80</v>
      </c>
      <c r="F40" s="5" t="str">
        <f t="shared" si="0"/>
        <v>N</v>
      </c>
      <c r="G40" s="14"/>
      <c r="H40" s="14"/>
    </row>
    <row r="41" spans="1:8" x14ac:dyDescent="0.25">
      <c r="A41" s="10"/>
      <c r="B41" s="5" t="s">
        <v>67</v>
      </c>
      <c r="C41" s="5" t="s">
        <v>67</v>
      </c>
      <c r="D41" s="5" t="str">
        <f>IF(B41=C41,"Y","N")</f>
        <v>Y</v>
      </c>
      <c r="E41" s="5" t="s">
        <v>82</v>
      </c>
      <c r="F41" s="5" t="str">
        <f t="shared" si="0"/>
        <v>N</v>
      </c>
      <c r="G41" s="14"/>
      <c r="H41" s="14"/>
    </row>
    <row r="42" spans="1:8" x14ac:dyDescent="0.25">
      <c r="A42" s="10"/>
      <c r="B42" s="5" t="s">
        <v>69</v>
      </c>
      <c r="C42" s="5" t="s">
        <v>69</v>
      </c>
      <c r="D42" s="5" t="str">
        <f>IF(B42=C42,"Y","N")</f>
        <v>Y</v>
      </c>
      <c r="E42" s="5" t="s">
        <v>84</v>
      </c>
      <c r="F42" s="5" t="str">
        <f t="shared" si="0"/>
        <v>N</v>
      </c>
      <c r="G42" s="14"/>
      <c r="H42" s="14"/>
    </row>
    <row r="43" spans="1:8" x14ac:dyDescent="0.25">
      <c r="A43" s="10"/>
      <c r="B43" s="5" t="s">
        <v>71</v>
      </c>
      <c r="C43" s="5" t="s">
        <v>71</v>
      </c>
      <c r="D43" s="5" t="str">
        <f>IF(B43=C43,"Y","N")</f>
        <v>Y</v>
      </c>
      <c r="E43" s="5" t="s">
        <v>71</v>
      </c>
      <c r="F43" s="5" t="str">
        <f t="shared" si="0"/>
        <v>Y</v>
      </c>
      <c r="G43" s="14"/>
      <c r="H43" s="14"/>
    </row>
    <row r="44" spans="1:8" x14ac:dyDescent="0.25">
      <c r="A44" s="10"/>
      <c r="B44" s="5" t="s">
        <v>73</v>
      </c>
      <c r="C44" s="5" t="s">
        <v>73</v>
      </c>
      <c r="D44" s="5" t="str">
        <f>IF(B44=C44,"Y","N")</f>
        <v>Y</v>
      </c>
      <c r="E44" s="5" t="s">
        <v>73</v>
      </c>
      <c r="F44" s="5" t="str">
        <f t="shared" si="0"/>
        <v>Y</v>
      </c>
      <c r="G44" s="14"/>
      <c r="H44" s="14"/>
    </row>
    <row r="45" spans="1:8" x14ac:dyDescent="0.25">
      <c r="A45" s="10"/>
      <c r="B45" s="5" t="s">
        <v>75</v>
      </c>
      <c r="C45" s="5" t="s">
        <v>75</v>
      </c>
      <c r="D45" s="5" t="str">
        <f>IF(B45=C45,"Y","N")</f>
        <v>Y</v>
      </c>
      <c r="E45" s="5" t="s">
        <v>75</v>
      </c>
      <c r="F45" s="5" t="str">
        <f t="shared" si="0"/>
        <v>Y</v>
      </c>
      <c r="G45" s="14"/>
      <c r="H45" s="14"/>
    </row>
    <row r="46" spans="1:8" x14ac:dyDescent="0.25">
      <c r="A46" s="10"/>
      <c r="B46" s="5" t="s">
        <v>77</v>
      </c>
      <c r="C46" s="5" t="s">
        <v>77</v>
      </c>
      <c r="D46" s="5" t="str">
        <f>IF(B46=C46,"Y","N")</f>
        <v>Y</v>
      </c>
      <c r="E46" s="5" t="s">
        <v>77</v>
      </c>
      <c r="F46" s="5" t="str">
        <f t="shared" si="0"/>
        <v>Y</v>
      </c>
      <c r="G46" s="14"/>
      <c r="H46" s="14"/>
    </row>
    <row r="47" spans="1:8" x14ac:dyDescent="0.25">
      <c r="A47" s="10"/>
      <c r="B47" s="5" t="s">
        <v>79</v>
      </c>
      <c r="C47" s="5" t="s">
        <v>79</v>
      </c>
      <c r="D47" s="5" t="str">
        <f>IF(B47=C47,"Y","N")</f>
        <v>Y</v>
      </c>
      <c r="E47" s="5" t="s">
        <v>79</v>
      </c>
      <c r="F47" s="5" t="str">
        <f t="shared" si="0"/>
        <v>Y</v>
      </c>
      <c r="G47" s="14"/>
      <c r="H47" s="14"/>
    </row>
    <row r="48" spans="1:8" x14ac:dyDescent="0.25">
      <c r="A48" s="10"/>
      <c r="B48" s="5" t="s">
        <v>81</v>
      </c>
      <c r="C48" s="5" t="s">
        <v>81</v>
      </c>
      <c r="D48" s="5" t="str">
        <f>IF(B48=C48,"Y","N")</f>
        <v>Y</v>
      </c>
      <c r="E48" s="5" t="s">
        <v>81</v>
      </c>
      <c r="F48" s="5" t="str">
        <f t="shared" si="0"/>
        <v>Y</v>
      </c>
      <c r="G48" s="14"/>
      <c r="H48" s="14"/>
    </row>
    <row r="49" spans="1:8" x14ac:dyDescent="0.25">
      <c r="A49" s="10"/>
      <c r="B49" s="5" t="s">
        <v>83</v>
      </c>
      <c r="C49" s="5" t="s">
        <v>83</v>
      </c>
      <c r="D49" s="5" t="str">
        <f>IF(B49=C49,"Y","N")</f>
        <v>Y</v>
      </c>
      <c r="E49" s="5" t="s">
        <v>83</v>
      </c>
      <c r="F49" s="5" t="str">
        <f t="shared" si="0"/>
        <v>Y</v>
      </c>
      <c r="G49" s="14"/>
      <c r="H49" s="14"/>
    </row>
    <row r="50" spans="1:8" x14ac:dyDescent="0.25">
      <c r="A50" s="10"/>
      <c r="B50" s="5" t="s">
        <v>85</v>
      </c>
      <c r="C50" s="5" t="s">
        <v>85</v>
      </c>
      <c r="D50" s="5" t="str">
        <f>IF(B50=C50,"Y","N")</f>
        <v>Y</v>
      </c>
      <c r="E50" s="5" t="s">
        <v>85</v>
      </c>
      <c r="F50" s="5" t="str">
        <f t="shared" si="0"/>
        <v>Y</v>
      </c>
      <c r="G50" s="14"/>
      <c r="H50" s="14"/>
    </row>
    <row r="51" spans="1:8" x14ac:dyDescent="0.25">
      <c r="A51" s="10"/>
      <c r="B51" s="5" t="s">
        <v>86</v>
      </c>
      <c r="C51" s="5" t="s">
        <v>86</v>
      </c>
      <c r="D51" s="5" t="str">
        <f>IF(B51=C51,"Y","N")</f>
        <v>Y</v>
      </c>
      <c r="E51" s="5" t="s">
        <v>86</v>
      </c>
      <c r="F51" s="5" t="str">
        <f t="shared" si="0"/>
        <v>Y</v>
      </c>
      <c r="G51" s="14"/>
      <c r="H51" s="14"/>
    </row>
    <row r="52" spans="1:8" x14ac:dyDescent="0.25">
      <c r="A52" s="10"/>
      <c r="B52" s="5" t="s">
        <v>88</v>
      </c>
      <c r="C52" s="5" t="s">
        <v>88</v>
      </c>
      <c r="D52" s="5" t="str">
        <f>IF(B52=C52,"Y","N")</f>
        <v>Y</v>
      </c>
      <c r="E52" s="5" t="s">
        <v>88</v>
      </c>
      <c r="F52" s="5" t="str">
        <f t="shared" si="0"/>
        <v>Y</v>
      </c>
      <c r="G52" s="14"/>
      <c r="H52" s="14"/>
    </row>
    <row r="53" spans="1:8" x14ac:dyDescent="0.25">
      <c r="A53" s="10"/>
      <c r="B53" s="5" t="s">
        <v>89</v>
      </c>
      <c r="C53" s="5" t="s">
        <v>89</v>
      </c>
      <c r="D53" s="5" t="str">
        <f>IF(B53=C53,"Y","N")</f>
        <v>Y</v>
      </c>
      <c r="E53" s="5" t="s">
        <v>89</v>
      </c>
      <c r="F53" s="5" t="str">
        <f t="shared" si="0"/>
        <v>Y</v>
      </c>
      <c r="G53" s="14"/>
      <c r="H53" s="14"/>
    </row>
    <row r="54" spans="1:8" x14ac:dyDescent="0.25">
      <c r="A54" s="10"/>
      <c r="B54" s="5" t="s">
        <v>90</v>
      </c>
      <c r="C54" s="5" t="s">
        <v>90</v>
      </c>
      <c r="D54" s="5" t="str">
        <f>IF(B54=C54,"Y","N")</f>
        <v>Y</v>
      </c>
      <c r="E54" s="5" t="s">
        <v>90</v>
      </c>
      <c r="F54" s="5" t="str">
        <f t="shared" si="0"/>
        <v>Y</v>
      </c>
      <c r="G54" s="14"/>
      <c r="H54" s="14"/>
    </row>
    <row r="55" spans="1:8" x14ac:dyDescent="0.25">
      <c r="A55" s="10"/>
      <c r="B55" s="5" t="s">
        <v>91</v>
      </c>
      <c r="C55" s="5" t="s">
        <v>91</v>
      </c>
      <c r="D55" s="5" t="str">
        <f>IF(B55=C55,"Y","N")</f>
        <v>Y</v>
      </c>
      <c r="E55" s="5" t="s">
        <v>91</v>
      </c>
      <c r="F55" s="5" t="str">
        <f t="shared" si="0"/>
        <v>Y</v>
      </c>
      <c r="G55" s="14"/>
      <c r="H55" s="14"/>
    </row>
    <row r="56" spans="1:8" x14ac:dyDescent="0.25">
      <c r="A56" s="10"/>
      <c r="B56" s="5" t="s">
        <v>92</v>
      </c>
      <c r="C56" s="5" t="s">
        <v>92</v>
      </c>
      <c r="D56" s="5" t="str">
        <f>IF(B56=C56,"Y","N")</f>
        <v>Y</v>
      </c>
      <c r="E56" s="5" t="s">
        <v>92</v>
      </c>
      <c r="F56" s="5" t="str">
        <f t="shared" si="0"/>
        <v>Y</v>
      </c>
      <c r="G56" s="14"/>
      <c r="H56" s="14"/>
    </row>
    <row r="57" spans="1:8" x14ac:dyDescent="0.25">
      <c r="A57" s="10"/>
      <c r="B57" s="5" t="s">
        <v>93</v>
      </c>
      <c r="C57" s="5" t="s">
        <v>93</v>
      </c>
      <c r="D57" s="5" t="str">
        <f>IF(B57=C57,"Y","N")</f>
        <v>Y</v>
      </c>
      <c r="E57" s="5" t="s">
        <v>93</v>
      </c>
      <c r="F57" s="5" t="str">
        <f t="shared" si="0"/>
        <v>Y</v>
      </c>
      <c r="G57" s="14"/>
      <c r="H57" s="14"/>
    </row>
    <row r="58" spans="1:8" x14ac:dyDescent="0.25">
      <c r="A58" s="10"/>
      <c r="B58" s="5" t="s">
        <v>95</v>
      </c>
      <c r="C58" s="5" t="s">
        <v>95</v>
      </c>
      <c r="D58" s="5" t="str">
        <f>IF(B58=C58,"Y","N")</f>
        <v>Y</v>
      </c>
      <c r="E58" s="5" t="s">
        <v>95</v>
      </c>
      <c r="F58" s="5" t="str">
        <f t="shared" si="0"/>
        <v>Y</v>
      </c>
      <c r="G58" s="14"/>
      <c r="H58" s="14"/>
    </row>
    <row r="59" spans="1:8" x14ac:dyDescent="0.25">
      <c r="A59" s="10"/>
      <c r="B59" s="5" t="s">
        <v>96</v>
      </c>
      <c r="C59" s="5" t="s">
        <v>96</v>
      </c>
      <c r="D59" s="5" t="str">
        <f>IF(B59=C59,"Y","N")</f>
        <v>Y</v>
      </c>
      <c r="E59" s="5" t="s">
        <v>96</v>
      </c>
      <c r="F59" s="5" t="str">
        <f t="shared" si="0"/>
        <v>Y</v>
      </c>
      <c r="G59" s="14"/>
      <c r="H59" s="14"/>
    </row>
    <row r="60" spans="1:8" x14ac:dyDescent="0.25">
      <c r="A60" s="10"/>
      <c r="B60" s="5" t="s">
        <v>97</v>
      </c>
      <c r="C60" s="5" t="s">
        <v>97</v>
      </c>
      <c r="D60" s="5" t="str">
        <f>IF(B60=C60,"Y","N")</f>
        <v>Y</v>
      </c>
      <c r="E60" s="5" t="s">
        <v>97</v>
      </c>
      <c r="F60" s="5" t="str">
        <f t="shared" si="0"/>
        <v>Y</v>
      </c>
      <c r="G60" s="14"/>
      <c r="H60" s="14"/>
    </row>
    <row r="61" spans="1:8" x14ac:dyDescent="0.25">
      <c r="A61" s="10"/>
      <c r="B61" s="5" t="s">
        <v>98</v>
      </c>
      <c r="C61" s="5" t="s">
        <v>98</v>
      </c>
      <c r="D61" s="5" t="str">
        <f>IF(B61=C61,"Y","N")</f>
        <v>Y</v>
      </c>
      <c r="E61" s="5" t="s">
        <v>98</v>
      </c>
      <c r="F61" s="5" t="str">
        <f t="shared" si="0"/>
        <v>Y</v>
      </c>
      <c r="G61" s="14"/>
      <c r="H61" s="14"/>
    </row>
    <row r="62" spans="1:8" x14ac:dyDescent="0.25">
      <c r="A62" s="10"/>
      <c r="B62" s="5" t="s">
        <v>100</v>
      </c>
      <c r="C62" s="5" t="s">
        <v>100</v>
      </c>
      <c r="D62" s="5" t="str">
        <f>IF(B62=C62,"Y","N")</f>
        <v>Y</v>
      </c>
      <c r="E62" s="5" t="s">
        <v>100</v>
      </c>
      <c r="F62" s="5" t="str">
        <f t="shared" si="0"/>
        <v>Y</v>
      </c>
      <c r="G62" s="14"/>
      <c r="H62" s="14"/>
    </row>
    <row r="63" spans="1:8" x14ac:dyDescent="0.25">
      <c r="A63" s="10"/>
      <c r="B63" s="5" t="s">
        <v>101</v>
      </c>
      <c r="C63" s="5" t="s">
        <v>101</v>
      </c>
      <c r="D63" s="5" t="str">
        <f>IF(B63=C63,"Y","N")</f>
        <v>Y</v>
      </c>
      <c r="E63" s="5" t="s">
        <v>101</v>
      </c>
      <c r="F63" s="5" t="str">
        <f t="shared" si="0"/>
        <v>Y</v>
      </c>
      <c r="G63" s="14"/>
      <c r="H63" s="14"/>
    </row>
    <row r="64" spans="1:8" x14ac:dyDescent="0.25">
      <c r="A64" s="10"/>
      <c r="B64" s="5" t="s">
        <v>102</v>
      </c>
      <c r="C64" s="5" t="s">
        <v>102</v>
      </c>
      <c r="D64" s="5" t="str">
        <f>IF(B64=C64,"Y","N")</f>
        <v>Y</v>
      </c>
      <c r="E64" s="5" t="s">
        <v>102</v>
      </c>
      <c r="F64" s="5" t="str">
        <f t="shared" si="0"/>
        <v>Y</v>
      </c>
      <c r="G64" s="14"/>
      <c r="H64" s="14"/>
    </row>
    <row r="65" spans="1:8" x14ac:dyDescent="0.25">
      <c r="A65" s="10"/>
      <c r="B65" s="5" t="s">
        <v>103</v>
      </c>
      <c r="C65" s="5" t="s">
        <v>103</v>
      </c>
      <c r="D65" s="5" t="str">
        <f>IF(B65=C65,"Y","N")</f>
        <v>Y</v>
      </c>
      <c r="E65" s="5" t="s">
        <v>103</v>
      </c>
      <c r="F65" s="5" t="str">
        <f t="shared" si="0"/>
        <v>Y</v>
      </c>
      <c r="G65" s="14"/>
      <c r="H65" s="14"/>
    </row>
    <row r="66" spans="1:8" x14ac:dyDescent="0.25">
      <c r="A66" s="10"/>
      <c r="B66" s="5" t="s">
        <v>105</v>
      </c>
      <c r="C66" s="5" t="s">
        <v>105</v>
      </c>
      <c r="D66" s="5" t="str">
        <f>IF(B66=C66,"Y","N")</f>
        <v>Y</v>
      </c>
      <c r="E66" s="5" t="s">
        <v>105</v>
      </c>
      <c r="F66" s="5" t="str">
        <f t="shared" si="0"/>
        <v>Y</v>
      </c>
      <c r="G66" s="14"/>
      <c r="H66" s="14"/>
    </row>
    <row r="67" spans="1:8" x14ac:dyDescent="0.25">
      <c r="A67" s="10"/>
      <c r="B67" s="5" t="s">
        <v>106</v>
      </c>
      <c r="C67" s="5" t="s">
        <v>106</v>
      </c>
      <c r="D67" s="5" t="str">
        <f>IF(B67=C67,"Y","N")</f>
        <v>Y</v>
      </c>
      <c r="E67" s="5" t="s">
        <v>106</v>
      </c>
      <c r="F67" s="5" t="str">
        <f t="shared" si="0"/>
        <v>Y</v>
      </c>
      <c r="G67" s="14"/>
      <c r="H67" s="14"/>
    </row>
    <row r="68" spans="1:8" x14ac:dyDescent="0.25">
      <c r="A68" s="10"/>
      <c r="B68" s="5" t="s">
        <v>108</v>
      </c>
      <c r="C68" s="5" t="s">
        <v>108</v>
      </c>
      <c r="D68" s="5" t="str">
        <f>IF(B68=C68,"Y","N")</f>
        <v>Y</v>
      </c>
      <c r="E68" s="5" t="s">
        <v>108</v>
      </c>
      <c r="F68" s="5" t="str">
        <f t="shared" ref="F68:F71" si="1">IF(C68=E68,"Y","N")</f>
        <v>Y</v>
      </c>
      <c r="G68" s="14"/>
      <c r="H68" s="14"/>
    </row>
    <row r="69" spans="1:8" x14ac:dyDescent="0.25">
      <c r="A69" s="10"/>
      <c r="B69" s="5" t="s">
        <v>110</v>
      </c>
      <c r="C69" s="5" t="s">
        <v>110</v>
      </c>
      <c r="D69" s="5" t="str">
        <f>IF(B69=C69,"Y","N")</f>
        <v>Y</v>
      </c>
      <c r="E69" s="5" t="s">
        <v>110</v>
      </c>
      <c r="F69" s="5" t="str">
        <f t="shared" si="1"/>
        <v>Y</v>
      </c>
      <c r="G69" s="14"/>
      <c r="H69" s="14"/>
    </row>
    <row r="70" spans="1:8" x14ac:dyDescent="0.25">
      <c r="A70" s="10"/>
      <c r="B70" s="5" t="s">
        <v>111</v>
      </c>
      <c r="C70" s="5" t="s">
        <v>111</v>
      </c>
      <c r="D70" s="5" t="str">
        <f>IF(B70=C70,"Y","N")</f>
        <v>Y</v>
      </c>
      <c r="E70" s="5" t="s">
        <v>121</v>
      </c>
      <c r="F70" s="5" t="str">
        <f t="shared" si="1"/>
        <v>N</v>
      </c>
      <c r="G70" s="14"/>
      <c r="H70" s="14"/>
    </row>
    <row r="71" spans="1:8" x14ac:dyDescent="0.25">
      <c r="A71" s="10"/>
      <c r="B71" s="5" t="s">
        <v>112</v>
      </c>
      <c r="C71" s="5" t="s">
        <v>112</v>
      </c>
      <c r="D71" s="5" t="str">
        <f>IF(B71=C71,"Y","N")</f>
        <v>Y</v>
      </c>
      <c r="E71" s="5" t="s">
        <v>122</v>
      </c>
      <c r="F71" s="5" t="str">
        <f t="shared" si="1"/>
        <v>N</v>
      </c>
      <c r="G71" s="14"/>
      <c r="H71" s="14"/>
    </row>
  </sheetData>
  <autoFilter ref="A2:J71" xr:uid="{00000000-0001-0000-0000-000000000000}"/>
  <conditionalFormatting sqref="D72:H1048576 D3:D71 I11:I12 I14:I16 I50 I56 I60 I64 I66:I67 I24 I31 E1:H1 D2:H2 I4:I8 E8:E71">
    <cfRule type="cellIs" dxfId="74" priority="3" operator="equal">
      <formula>"N"</formula>
    </cfRule>
  </conditionalFormatting>
  <conditionalFormatting sqref="E7">
    <cfRule type="cellIs" dxfId="73" priority="2" operator="equal">
      <formula>"N"</formula>
    </cfRule>
  </conditionalFormatting>
  <conditionalFormatting sqref="F3:H71">
    <cfRule type="cellIs" dxfId="72" priority="1" operator="equal">
      <formula>"N"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0"/>
  <sheetViews>
    <sheetView workbookViewId="0">
      <pane xSplit="1" ySplit="1" topLeftCell="B2" activePane="bottomRight" state="frozen"/>
      <selection activeCell="I3" sqref="I3:I91"/>
      <selection pane="topRight" activeCell="I3" sqref="I3:I91"/>
      <selection pane="bottomLeft" activeCell="I3" sqref="I3:I91"/>
      <selection pane="bottomRight" activeCell="I3" sqref="I3:I91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9.140625" style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26.42578125" style="1" bestFit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</row>
    <row r="2" spans="1:10" x14ac:dyDescent="0.25">
      <c r="A2" s="3" t="s">
        <v>333</v>
      </c>
      <c r="B2" s="12" t="s">
        <v>123</v>
      </c>
      <c r="C2" s="12" t="s">
        <v>125</v>
      </c>
      <c r="D2" s="5" t="s">
        <v>336</v>
      </c>
      <c r="E2" s="12" t="s">
        <v>124</v>
      </c>
      <c r="F2" s="1" t="s">
        <v>337</v>
      </c>
      <c r="H2" s="5" t="s">
        <v>351</v>
      </c>
      <c r="I2" s="16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5" t="s">
        <v>6</v>
      </c>
      <c r="F3" s="5" t="str">
        <f>IF(C3=E3,"Y","N")</f>
        <v>Y</v>
      </c>
      <c r="H3" s="5">
        <v>1</v>
      </c>
      <c r="I3" s="16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5" t="s">
        <v>8</v>
      </c>
      <c r="F4" s="5" t="str">
        <f t="shared" ref="F4:F67" si="0">IF(C4=E4,"Y","N")</f>
        <v>Y</v>
      </c>
      <c r="H4" s="5">
        <v>2</v>
      </c>
      <c r="I4" s="16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5" t="s">
        <v>9</v>
      </c>
      <c r="F5" s="5" t="str">
        <f t="shared" si="0"/>
        <v>Y</v>
      </c>
      <c r="H5" s="5">
        <v>3</v>
      </c>
      <c r="I5" s="16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5" t="s">
        <v>10</v>
      </c>
      <c r="F6" s="5" t="str">
        <f t="shared" si="0"/>
        <v>Y</v>
      </c>
      <c r="H6" s="5">
        <v>4</v>
      </c>
      <c r="I6" s="16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5" t="s">
        <v>11</v>
      </c>
      <c r="F7" s="5" t="str">
        <f t="shared" si="0"/>
        <v>Y</v>
      </c>
      <c r="H7" s="5">
        <v>5</v>
      </c>
      <c r="I7" s="16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5" t="s">
        <v>16</v>
      </c>
      <c r="F8" s="5" t="str">
        <f t="shared" si="0"/>
        <v>N</v>
      </c>
      <c r="H8" s="5">
        <v>6</v>
      </c>
      <c r="I8" s="16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5" t="s">
        <v>18</v>
      </c>
      <c r="F9" s="5" t="str">
        <f t="shared" si="0"/>
        <v>N</v>
      </c>
      <c r="H9" s="5">
        <v>7</v>
      </c>
      <c r="I9" s="16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5" t="s">
        <v>31</v>
      </c>
      <c r="F10" s="5" t="str">
        <f t="shared" si="0"/>
        <v>N</v>
      </c>
      <c r="H10" s="5">
        <v>8</v>
      </c>
      <c r="I10" s="16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5" t="s">
        <v>33</v>
      </c>
      <c r="F11" s="5" t="str">
        <f t="shared" si="0"/>
        <v>N</v>
      </c>
      <c r="H11" s="5">
        <v>9</v>
      </c>
      <c r="I11" s="16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5" t="s">
        <v>35</v>
      </c>
      <c r="F12" s="5" t="str">
        <f t="shared" si="0"/>
        <v>N</v>
      </c>
      <c r="H12" s="5">
        <v>10</v>
      </c>
      <c r="I12" s="16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5" t="s">
        <v>37</v>
      </c>
      <c r="F13" s="5" t="str">
        <f t="shared" si="0"/>
        <v>N</v>
      </c>
      <c r="H13" s="5">
        <v>11</v>
      </c>
      <c r="I13" s="16" t="s">
        <v>104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5" t="s">
        <v>39</v>
      </c>
      <c r="F14" s="5" t="str">
        <f t="shared" si="0"/>
        <v>N</v>
      </c>
      <c r="H14" s="5">
        <v>12</v>
      </c>
      <c r="I14" s="16" t="s">
        <v>99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5" t="s">
        <v>41</v>
      </c>
      <c r="F15" s="5" t="str">
        <f t="shared" si="0"/>
        <v>N</v>
      </c>
      <c r="H15" s="5">
        <v>13</v>
      </c>
      <c r="I15" s="16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5" t="s">
        <v>43</v>
      </c>
      <c r="F16" s="5" t="str">
        <f t="shared" si="0"/>
        <v>N</v>
      </c>
      <c r="H16" s="5">
        <v>14</v>
      </c>
      <c r="I16" s="16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5" t="s">
        <v>30</v>
      </c>
      <c r="F17" s="5" t="str">
        <f t="shared" si="0"/>
        <v>Y</v>
      </c>
      <c r="H17" s="5">
        <v>15</v>
      </c>
      <c r="I17" s="16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5" t="s">
        <v>32</v>
      </c>
      <c r="F18" s="5" t="str">
        <f t="shared" si="0"/>
        <v>Y</v>
      </c>
      <c r="H18" s="5">
        <v>16</v>
      </c>
      <c r="I18" s="16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36</v>
      </c>
      <c r="C19" s="5" t="s">
        <v>36</v>
      </c>
      <c r="D19" s="5" t="str">
        <f>IF(B19=C19,"Y","N")</f>
        <v>Y</v>
      </c>
      <c r="E19" s="5" t="s">
        <v>36</v>
      </c>
      <c r="F19" s="5" t="str">
        <f t="shared" si="0"/>
        <v>Y</v>
      </c>
      <c r="H19" s="5">
        <v>17</v>
      </c>
      <c r="I19" s="16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38</v>
      </c>
      <c r="C20" s="5" t="s">
        <v>38</v>
      </c>
      <c r="D20" s="5" t="str">
        <f>IF(B20=C20,"Y","N")</f>
        <v>Y</v>
      </c>
      <c r="E20" s="5" t="s">
        <v>38</v>
      </c>
      <c r="F20" s="5" t="str">
        <f t="shared" si="0"/>
        <v>Y</v>
      </c>
      <c r="H20" s="5">
        <v>18</v>
      </c>
      <c r="I20" s="16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42</v>
      </c>
      <c r="C21" s="5" t="s">
        <v>42</v>
      </c>
      <c r="D21" s="5" t="str">
        <f>IF(B21=C21,"Y","N")</f>
        <v>Y</v>
      </c>
      <c r="E21" s="5" t="s">
        <v>42</v>
      </c>
      <c r="F21" s="5" t="str">
        <f t="shared" si="0"/>
        <v>Y</v>
      </c>
      <c r="H21" s="5">
        <v>19</v>
      </c>
      <c r="I21" s="16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44</v>
      </c>
      <c r="C22" s="5" t="s">
        <v>44</v>
      </c>
      <c r="D22" s="5" t="str">
        <f>IF(B22=C22,"Y","N")</f>
        <v>Y</v>
      </c>
      <c r="E22" s="5" t="s">
        <v>44</v>
      </c>
      <c r="F22" s="5" t="str">
        <f t="shared" si="0"/>
        <v>Y</v>
      </c>
      <c r="H22" s="5">
        <v>20</v>
      </c>
      <c r="I22" s="16" t="s">
        <v>118</v>
      </c>
      <c r="J22" s="5" t="str">
        <f>VLOOKUP(I22,'01-Capacitors'!I:J,2,FALSE)</f>
        <v>Empty</v>
      </c>
    </row>
    <row r="23" spans="1:10" x14ac:dyDescent="0.25">
      <c r="A23" s="10"/>
      <c r="B23" s="6" t="s">
        <v>45</v>
      </c>
      <c r="C23" s="6" t="s">
        <v>45</v>
      </c>
      <c r="D23" s="6" t="str">
        <f>IF(B23=C23,"Y","N")</f>
        <v>Y</v>
      </c>
      <c r="E23" s="6"/>
      <c r="F23" s="5" t="str">
        <f t="shared" si="0"/>
        <v>N</v>
      </c>
      <c r="G23" s="14" t="s">
        <v>341</v>
      </c>
      <c r="H23" s="5">
        <v>21</v>
      </c>
      <c r="I23" s="16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46</v>
      </c>
      <c r="C24" s="5" t="s">
        <v>46</v>
      </c>
      <c r="D24" s="5" t="str">
        <f>IF(B24=C24,"Y","N")</f>
        <v>Y</v>
      </c>
      <c r="E24" s="5" t="s">
        <v>46</v>
      </c>
      <c r="F24" s="5" t="str">
        <f t="shared" si="0"/>
        <v>Y</v>
      </c>
      <c r="H24" s="5">
        <v>22</v>
      </c>
      <c r="I24" s="16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47</v>
      </c>
      <c r="C25" s="5" t="s">
        <v>47</v>
      </c>
      <c r="D25" s="5" t="str">
        <f>IF(B25=C25,"Y","N")</f>
        <v>Y</v>
      </c>
      <c r="E25" s="5" t="s">
        <v>56</v>
      </c>
      <c r="F25" s="5" t="str">
        <f t="shared" si="0"/>
        <v>N</v>
      </c>
    </row>
    <row r="26" spans="1:10" x14ac:dyDescent="0.25">
      <c r="A26" s="10"/>
      <c r="B26" s="5" t="s">
        <v>48</v>
      </c>
      <c r="C26" s="5" t="s">
        <v>48</v>
      </c>
      <c r="D26" s="5" t="str">
        <f>IF(B26=C26,"Y","N")</f>
        <v>Y</v>
      </c>
      <c r="E26" s="5" t="s">
        <v>58</v>
      </c>
      <c r="F26" s="5" t="str">
        <f t="shared" si="0"/>
        <v>N</v>
      </c>
    </row>
    <row r="27" spans="1:10" x14ac:dyDescent="0.25">
      <c r="A27" s="10"/>
      <c r="B27" s="5" t="s">
        <v>49</v>
      </c>
      <c r="C27" s="5" t="s">
        <v>49</v>
      </c>
      <c r="D27" s="5" t="str">
        <f>IF(B27=C27,"Y","N")</f>
        <v>Y</v>
      </c>
      <c r="E27" s="5" t="s">
        <v>60</v>
      </c>
      <c r="F27" s="5" t="str">
        <f t="shared" si="0"/>
        <v>N</v>
      </c>
    </row>
    <row r="28" spans="1:10" x14ac:dyDescent="0.25">
      <c r="A28" s="10"/>
      <c r="B28" s="5" t="s">
        <v>50</v>
      </c>
      <c r="C28" s="5" t="s">
        <v>50</v>
      </c>
      <c r="D28" s="5" t="str">
        <f>IF(B28=C28,"Y","N")</f>
        <v>Y</v>
      </c>
      <c r="E28" s="5" t="s">
        <v>62</v>
      </c>
      <c r="F28" s="5" t="str">
        <f t="shared" si="0"/>
        <v>N</v>
      </c>
    </row>
    <row r="29" spans="1:10" x14ac:dyDescent="0.25">
      <c r="A29" s="10"/>
      <c r="B29" s="5" t="s">
        <v>51</v>
      </c>
      <c r="C29" s="5" t="s">
        <v>51</v>
      </c>
      <c r="D29" s="5" t="str">
        <f>IF(B29=C29,"Y","N")</f>
        <v>Y</v>
      </c>
      <c r="E29" s="5" t="s">
        <v>64</v>
      </c>
      <c r="F29" s="5" t="str">
        <f t="shared" si="0"/>
        <v>N</v>
      </c>
    </row>
    <row r="30" spans="1:10" x14ac:dyDescent="0.25">
      <c r="A30" s="10"/>
      <c r="B30" s="5" t="s">
        <v>53</v>
      </c>
      <c r="C30" s="5" t="s">
        <v>53</v>
      </c>
      <c r="D30" s="5" t="str">
        <f>IF(B30=C30,"Y","N")</f>
        <v>Y</v>
      </c>
      <c r="E30" s="5" t="s">
        <v>66</v>
      </c>
      <c r="F30" s="5" t="str">
        <f t="shared" si="0"/>
        <v>N</v>
      </c>
    </row>
    <row r="31" spans="1:10" x14ac:dyDescent="0.25">
      <c r="A31" s="10"/>
      <c r="B31" s="5" t="s">
        <v>54</v>
      </c>
      <c r="C31" s="5" t="s">
        <v>54</v>
      </c>
      <c r="D31" s="5" t="str">
        <f>IF(B31=C31,"Y","N")</f>
        <v>Y</v>
      </c>
      <c r="E31" s="5" t="s">
        <v>68</v>
      </c>
      <c r="F31" s="5" t="str">
        <f t="shared" si="0"/>
        <v>N</v>
      </c>
    </row>
    <row r="32" spans="1:10" x14ac:dyDescent="0.25">
      <c r="A32" s="10"/>
      <c r="B32" s="5" t="s">
        <v>55</v>
      </c>
      <c r="C32" s="5" t="s">
        <v>55</v>
      </c>
      <c r="D32" s="5" t="str">
        <f>IF(B32=C32,"Y","N")</f>
        <v>Y</v>
      </c>
      <c r="E32" s="5" t="s">
        <v>70</v>
      </c>
      <c r="F32" s="5" t="str">
        <f t="shared" si="0"/>
        <v>N</v>
      </c>
    </row>
    <row r="33" spans="1:9" x14ac:dyDescent="0.25">
      <c r="A33" s="10"/>
      <c r="B33" s="5" t="s">
        <v>57</v>
      </c>
      <c r="C33" s="5" t="s">
        <v>57</v>
      </c>
      <c r="D33" s="5" t="str">
        <f>IF(B33=C33,"Y","N")</f>
        <v>Y</v>
      </c>
      <c r="E33" s="5" t="s">
        <v>72</v>
      </c>
      <c r="F33" s="5" t="str">
        <f t="shared" si="0"/>
        <v>N</v>
      </c>
    </row>
    <row r="34" spans="1:9" x14ac:dyDescent="0.25">
      <c r="A34" s="10"/>
      <c r="B34" s="5" t="s">
        <v>59</v>
      </c>
      <c r="C34" s="5" t="s">
        <v>59</v>
      </c>
      <c r="D34" s="5" t="str">
        <f>IF(B34=C34,"Y","N")</f>
        <v>Y</v>
      </c>
      <c r="E34" s="5" t="s">
        <v>74</v>
      </c>
      <c r="F34" s="5" t="str">
        <f t="shared" si="0"/>
        <v>N</v>
      </c>
    </row>
    <row r="35" spans="1:9" x14ac:dyDescent="0.25">
      <c r="A35" s="10"/>
      <c r="B35" s="5" t="s">
        <v>61</v>
      </c>
      <c r="C35" s="5" t="s">
        <v>61</v>
      </c>
      <c r="D35" s="5" t="str">
        <f>IF(B35=C35,"Y","N")</f>
        <v>Y</v>
      </c>
      <c r="E35" s="5" t="s">
        <v>76</v>
      </c>
      <c r="F35" s="5" t="str">
        <f t="shared" si="0"/>
        <v>N</v>
      </c>
    </row>
    <row r="36" spans="1:9" x14ac:dyDescent="0.25">
      <c r="A36" s="10"/>
      <c r="B36" s="5" t="s">
        <v>63</v>
      </c>
      <c r="C36" s="5" t="s">
        <v>63</v>
      </c>
      <c r="D36" s="5" t="str">
        <f>IF(B36=C36,"Y","N")</f>
        <v>Y</v>
      </c>
      <c r="E36" s="5" t="s">
        <v>78</v>
      </c>
      <c r="F36" s="5" t="str">
        <f t="shared" si="0"/>
        <v>N</v>
      </c>
    </row>
    <row r="37" spans="1:9" x14ac:dyDescent="0.25">
      <c r="A37" s="10"/>
      <c r="B37" s="5" t="s">
        <v>65</v>
      </c>
      <c r="C37" s="5" t="s">
        <v>65</v>
      </c>
      <c r="D37" s="5" t="str">
        <f>IF(B37=C37,"Y","N")</f>
        <v>Y</v>
      </c>
      <c r="E37" s="5" t="s">
        <v>80</v>
      </c>
      <c r="F37" s="5" t="str">
        <f t="shared" si="0"/>
        <v>N</v>
      </c>
    </row>
    <row r="38" spans="1:9" x14ac:dyDescent="0.25">
      <c r="A38" s="10"/>
      <c r="B38" s="5" t="s">
        <v>67</v>
      </c>
      <c r="C38" s="5" t="s">
        <v>67</v>
      </c>
      <c r="D38" s="5" t="str">
        <f>IF(B38=C38,"Y","N")</f>
        <v>Y</v>
      </c>
      <c r="E38" s="5" t="s">
        <v>82</v>
      </c>
      <c r="F38" s="5" t="str">
        <f t="shared" si="0"/>
        <v>N</v>
      </c>
    </row>
    <row r="39" spans="1:9" x14ac:dyDescent="0.25">
      <c r="A39" s="10"/>
      <c r="B39" s="5" t="s">
        <v>69</v>
      </c>
      <c r="C39" s="5" t="s">
        <v>69</v>
      </c>
      <c r="D39" s="5" t="str">
        <f>IF(B39=C39,"Y","N")</f>
        <v>Y</v>
      </c>
      <c r="E39" s="5" t="s">
        <v>84</v>
      </c>
      <c r="F39" s="5" t="str">
        <f t="shared" si="0"/>
        <v>N</v>
      </c>
    </row>
    <row r="40" spans="1:9" x14ac:dyDescent="0.25">
      <c r="A40" s="10"/>
      <c r="B40" s="5" t="s">
        <v>71</v>
      </c>
      <c r="C40" s="5" t="s">
        <v>71</v>
      </c>
      <c r="D40" s="5" t="str">
        <f>IF(B40=C40,"Y","N")</f>
        <v>Y</v>
      </c>
      <c r="E40" s="5" t="s">
        <v>71</v>
      </c>
      <c r="F40" s="5" t="str">
        <f t="shared" si="0"/>
        <v>Y</v>
      </c>
    </row>
    <row r="41" spans="1:9" x14ac:dyDescent="0.25">
      <c r="A41" s="10"/>
      <c r="B41" s="5" t="s">
        <v>73</v>
      </c>
      <c r="C41" s="5" t="s">
        <v>73</v>
      </c>
      <c r="D41" s="5" t="str">
        <f>IF(B41=C41,"Y","N")</f>
        <v>Y</v>
      </c>
      <c r="E41" s="5" t="s">
        <v>73</v>
      </c>
      <c r="F41" s="5" t="str">
        <f t="shared" si="0"/>
        <v>Y</v>
      </c>
      <c r="I41" s="14"/>
    </row>
    <row r="42" spans="1:9" x14ac:dyDescent="0.25">
      <c r="A42" s="10"/>
      <c r="B42" s="5" t="s">
        <v>75</v>
      </c>
      <c r="C42" s="5" t="s">
        <v>75</v>
      </c>
      <c r="D42" s="5" t="str">
        <f>IF(B42=C42,"Y","N")</f>
        <v>Y</v>
      </c>
      <c r="E42" s="5" t="s">
        <v>75</v>
      </c>
      <c r="F42" s="5" t="str">
        <f t="shared" si="0"/>
        <v>Y</v>
      </c>
      <c r="I42" s="14"/>
    </row>
    <row r="43" spans="1:9" x14ac:dyDescent="0.25">
      <c r="A43" s="10"/>
      <c r="B43" s="5" t="s">
        <v>77</v>
      </c>
      <c r="C43" s="5" t="s">
        <v>77</v>
      </c>
      <c r="D43" s="5" t="str">
        <f>IF(B43=C43,"Y","N")</f>
        <v>Y</v>
      </c>
      <c r="E43" s="5" t="s">
        <v>77</v>
      </c>
      <c r="F43" s="5" t="str">
        <f t="shared" si="0"/>
        <v>Y</v>
      </c>
      <c r="I43" s="14"/>
    </row>
    <row r="44" spans="1:9" x14ac:dyDescent="0.25">
      <c r="A44" s="10"/>
      <c r="B44" s="5" t="s">
        <v>79</v>
      </c>
      <c r="C44" s="5" t="s">
        <v>79</v>
      </c>
      <c r="D44" s="5" t="str">
        <f>IF(B44=C44,"Y","N")</f>
        <v>Y</v>
      </c>
      <c r="E44" s="5" t="s">
        <v>79</v>
      </c>
      <c r="F44" s="5" t="str">
        <f t="shared" si="0"/>
        <v>Y</v>
      </c>
    </row>
    <row r="45" spans="1:9" x14ac:dyDescent="0.25">
      <c r="A45" s="10"/>
      <c r="B45" s="5" t="s">
        <v>81</v>
      </c>
      <c r="C45" s="5" t="s">
        <v>81</v>
      </c>
      <c r="D45" s="5" t="str">
        <f>IF(B45=C45,"Y","N")</f>
        <v>Y</v>
      </c>
      <c r="E45" s="5" t="s">
        <v>81</v>
      </c>
      <c r="F45" s="5" t="str">
        <f t="shared" si="0"/>
        <v>Y</v>
      </c>
    </row>
    <row r="46" spans="1:9" x14ac:dyDescent="0.25">
      <c r="A46" s="10"/>
      <c r="B46" s="5" t="s">
        <v>83</v>
      </c>
      <c r="C46" s="5" t="s">
        <v>83</v>
      </c>
      <c r="D46" s="5" t="str">
        <f>IF(B46=C46,"Y","N")</f>
        <v>Y</v>
      </c>
      <c r="E46" s="5" t="s">
        <v>83</v>
      </c>
      <c r="F46" s="5" t="str">
        <f t="shared" si="0"/>
        <v>Y</v>
      </c>
    </row>
    <row r="47" spans="1:9" x14ac:dyDescent="0.25">
      <c r="A47" s="10"/>
      <c r="B47" s="5" t="s">
        <v>85</v>
      </c>
      <c r="C47" s="5" t="s">
        <v>85</v>
      </c>
      <c r="D47" s="5" t="str">
        <f>IF(B47=C47,"Y","N")</f>
        <v>Y</v>
      </c>
      <c r="E47" s="5" t="s">
        <v>85</v>
      </c>
      <c r="F47" s="5" t="str">
        <f t="shared" si="0"/>
        <v>Y</v>
      </c>
    </row>
    <row r="48" spans="1:9" x14ac:dyDescent="0.25">
      <c r="A48" s="10"/>
      <c r="B48" s="5" t="s">
        <v>86</v>
      </c>
      <c r="C48" s="5" t="s">
        <v>86</v>
      </c>
      <c r="D48" s="5" t="str">
        <f>IF(B48=C48,"Y","N")</f>
        <v>Y</v>
      </c>
      <c r="E48" s="5" t="s">
        <v>86</v>
      </c>
      <c r="F48" s="5" t="str">
        <f t="shared" si="0"/>
        <v>Y</v>
      </c>
    </row>
    <row r="49" spans="1:9" x14ac:dyDescent="0.25">
      <c r="A49" s="10"/>
      <c r="B49" s="5" t="s">
        <v>88</v>
      </c>
      <c r="C49" s="5" t="s">
        <v>88</v>
      </c>
      <c r="D49" s="5" t="str">
        <f>IF(B49=C49,"Y","N")</f>
        <v>Y</v>
      </c>
      <c r="E49" s="5" t="s">
        <v>88</v>
      </c>
      <c r="F49" s="5" t="str">
        <f t="shared" si="0"/>
        <v>Y</v>
      </c>
    </row>
    <row r="50" spans="1:9" x14ac:dyDescent="0.25">
      <c r="A50" s="10"/>
      <c r="B50" s="5" t="s">
        <v>89</v>
      </c>
      <c r="C50" s="5" t="s">
        <v>89</v>
      </c>
      <c r="D50" s="5" t="str">
        <f>IF(B50=C50,"Y","N")</f>
        <v>Y</v>
      </c>
      <c r="E50" s="5" t="s">
        <v>89</v>
      </c>
      <c r="F50" s="5" t="str">
        <f t="shared" si="0"/>
        <v>Y</v>
      </c>
    </row>
    <row r="51" spans="1:9" x14ac:dyDescent="0.25">
      <c r="A51" s="10"/>
      <c r="B51" s="5" t="s">
        <v>90</v>
      </c>
      <c r="C51" s="5" t="s">
        <v>90</v>
      </c>
      <c r="D51" s="5" t="str">
        <f>IF(B51=C51,"Y","N")</f>
        <v>Y</v>
      </c>
      <c r="E51" s="5" t="s">
        <v>90</v>
      </c>
      <c r="F51" s="5" t="str">
        <f t="shared" si="0"/>
        <v>Y</v>
      </c>
      <c r="I51" s="14"/>
    </row>
    <row r="52" spans="1:9" x14ac:dyDescent="0.25">
      <c r="A52" s="10"/>
      <c r="B52" s="5" t="s">
        <v>126</v>
      </c>
      <c r="C52" s="5" t="s">
        <v>126</v>
      </c>
      <c r="D52" s="5" t="str">
        <f>IF(B52=C52,"Y","N")</f>
        <v>Y</v>
      </c>
      <c r="E52" s="5" t="s">
        <v>126</v>
      </c>
      <c r="F52" s="5" t="str">
        <f t="shared" si="0"/>
        <v>Y</v>
      </c>
    </row>
    <row r="53" spans="1:9" x14ac:dyDescent="0.25">
      <c r="A53" s="10"/>
      <c r="B53" s="5" t="s">
        <v>91</v>
      </c>
      <c r="C53" s="5" t="s">
        <v>91</v>
      </c>
      <c r="D53" s="5" t="str">
        <f>IF(B53=C53,"Y","N")</f>
        <v>Y</v>
      </c>
      <c r="E53" s="5" t="s">
        <v>91</v>
      </c>
      <c r="F53" s="5" t="str">
        <f t="shared" si="0"/>
        <v>Y</v>
      </c>
    </row>
    <row r="54" spans="1:9" x14ac:dyDescent="0.25">
      <c r="A54" s="10"/>
      <c r="B54" s="5" t="s">
        <v>92</v>
      </c>
      <c r="C54" s="5" t="s">
        <v>92</v>
      </c>
      <c r="D54" s="5" t="str">
        <f>IF(B54=C54,"Y","N")</f>
        <v>Y</v>
      </c>
      <c r="E54" s="5" t="s">
        <v>92</v>
      </c>
      <c r="F54" s="5" t="str">
        <f t="shared" si="0"/>
        <v>Y</v>
      </c>
    </row>
    <row r="55" spans="1:9" x14ac:dyDescent="0.25">
      <c r="A55" s="10"/>
      <c r="B55" s="5" t="s">
        <v>93</v>
      </c>
      <c r="C55" s="5" t="s">
        <v>93</v>
      </c>
      <c r="D55" s="5" t="str">
        <f>IF(B55=C55,"Y","N")</f>
        <v>Y</v>
      </c>
      <c r="E55" s="5" t="s">
        <v>93</v>
      </c>
      <c r="F55" s="5" t="str">
        <f t="shared" si="0"/>
        <v>Y</v>
      </c>
    </row>
    <row r="56" spans="1:9" x14ac:dyDescent="0.25">
      <c r="A56" s="10"/>
      <c r="B56" s="5" t="s">
        <v>95</v>
      </c>
      <c r="C56" s="5" t="s">
        <v>95</v>
      </c>
      <c r="D56" s="5" t="str">
        <f>IF(B56=C56,"Y","N")</f>
        <v>Y</v>
      </c>
      <c r="E56" s="5" t="s">
        <v>95</v>
      </c>
      <c r="F56" s="5" t="str">
        <f t="shared" si="0"/>
        <v>Y</v>
      </c>
    </row>
    <row r="57" spans="1:9" x14ac:dyDescent="0.25">
      <c r="A57" s="10"/>
      <c r="B57" s="5" t="s">
        <v>96</v>
      </c>
      <c r="C57" s="5" t="s">
        <v>96</v>
      </c>
      <c r="D57" s="5" t="str">
        <f>IF(B57=C57,"Y","N")</f>
        <v>Y</v>
      </c>
      <c r="E57" s="5" t="s">
        <v>96</v>
      </c>
      <c r="F57" s="5" t="str">
        <f t="shared" si="0"/>
        <v>Y</v>
      </c>
    </row>
    <row r="58" spans="1:9" x14ac:dyDescent="0.25">
      <c r="A58" s="10"/>
      <c r="B58" s="5" t="s">
        <v>97</v>
      </c>
      <c r="C58" s="5" t="s">
        <v>97</v>
      </c>
      <c r="D58" s="5" t="str">
        <f>IF(B58=C58,"Y","N")</f>
        <v>Y</v>
      </c>
      <c r="E58" s="5" t="s">
        <v>97</v>
      </c>
      <c r="F58" s="5" t="str">
        <f t="shared" si="0"/>
        <v>Y</v>
      </c>
      <c r="I58" s="14"/>
    </row>
    <row r="59" spans="1:9" x14ac:dyDescent="0.25">
      <c r="A59" s="10"/>
      <c r="B59" s="5" t="s">
        <v>98</v>
      </c>
      <c r="C59" s="5" t="s">
        <v>98</v>
      </c>
      <c r="D59" s="5" t="str">
        <f>IF(B59=C59,"Y","N")</f>
        <v>Y</v>
      </c>
      <c r="E59" s="5" t="s">
        <v>98</v>
      </c>
      <c r="F59" s="5" t="str">
        <f t="shared" si="0"/>
        <v>Y</v>
      </c>
      <c r="I59" s="14"/>
    </row>
    <row r="60" spans="1:9" x14ac:dyDescent="0.25">
      <c r="A60" s="10"/>
      <c r="B60" s="5" t="s">
        <v>100</v>
      </c>
      <c r="C60" s="5" t="s">
        <v>100</v>
      </c>
      <c r="D60" s="5" t="str">
        <f>IF(B60=C60,"Y","N")</f>
        <v>Y</v>
      </c>
      <c r="E60" s="5" t="s">
        <v>100</v>
      </c>
      <c r="F60" s="5" t="str">
        <f t="shared" si="0"/>
        <v>Y</v>
      </c>
    </row>
    <row r="61" spans="1:9" x14ac:dyDescent="0.25">
      <c r="A61" s="10"/>
      <c r="B61" s="5" t="s">
        <v>101</v>
      </c>
      <c r="C61" s="5" t="s">
        <v>101</v>
      </c>
      <c r="D61" s="5" t="str">
        <f>IF(B61=C61,"Y","N")</f>
        <v>Y</v>
      </c>
      <c r="E61" s="5" t="s">
        <v>101</v>
      </c>
      <c r="F61" s="5" t="str">
        <f t="shared" si="0"/>
        <v>Y</v>
      </c>
    </row>
    <row r="62" spans="1:9" x14ac:dyDescent="0.25">
      <c r="A62" s="10"/>
      <c r="B62" s="5" t="s">
        <v>102</v>
      </c>
      <c r="C62" s="5" t="s">
        <v>102</v>
      </c>
      <c r="D62" s="5" t="str">
        <f>IF(B62=C62,"Y","N")</f>
        <v>Y</v>
      </c>
      <c r="E62" s="5" t="s">
        <v>102</v>
      </c>
      <c r="F62" s="5" t="str">
        <f t="shared" si="0"/>
        <v>Y</v>
      </c>
    </row>
    <row r="63" spans="1:9" x14ac:dyDescent="0.25">
      <c r="A63" s="10"/>
      <c r="B63" s="5" t="s">
        <v>103</v>
      </c>
      <c r="C63" s="5" t="s">
        <v>103</v>
      </c>
      <c r="D63" s="5" t="str">
        <f>IF(B63=C63,"Y","N")</f>
        <v>Y</v>
      </c>
      <c r="E63" s="5" t="s">
        <v>103</v>
      </c>
      <c r="F63" s="5" t="str">
        <f t="shared" si="0"/>
        <v>Y</v>
      </c>
    </row>
    <row r="64" spans="1:9" x14ac:dyDescent="0.25">
      <c r="A64" s="10"/>
      <c r="B64" s="5" t="s">
        <v>105</v>
      </c>
      <c r="C64" s="5" t="s">
        <v>105</v>
      </c>
      <c r="D64" s="5" t="str">
        <f>IF(B64=C64,"Y","N")</f>
        <v>Y</v>
      </c>
      <c r="E64" s="5" t="s">
        <v>105</v>
      </c>
      <c r="F64" s="5" t="str">
        <f t="shared" si="0"/>
        <v>Y</v>
      </c>
    </row>
    <row r="65" spans="1:9" x14ac:dyDescent="0.25">
      <c r="A65" s="10"/>
      <c r="B65" s="5" t="s">
        <v>127</v>
      </c>
      <c r="C65" s="5" t="s">
        <v>127</v>
      </c>
      <c r="D65" s="5" t="str">
        <f>IF(B65=C65,"Y","N")</f>
        <v>Y</v>
      </c>
      <c r="E65" s="5" t="s">
        <v>127</v>
      </c>
      <c r="F65" s="5" t="str">
        <f t="shared" si="0"/>
        <v>Y</v>
      </c>
      <c r="I65" s="14"/>
    </row>
    <row r="66" spans="1:9" x14ac:dyDescent="0.25">
      <c r="A66" s="10"/>
      <c r="B66" s="5" t="s">
        <v>106</v>
      </c>
      <c r="C66" s="5" t="s">
        <v>106</v>
      </c>
      <c r="D66" s="5" t="str">
        <f>IF(B66=C66,"Y","N")</f>
        <v>Y</v>
      </c>
      <c r="E66" s="5" t="s">
        <v>106</v>
      </c>
      <c r="F66" s="5" t="str">
        <f t="shared" si="0"/>
        <v>Y</v>
      </c>
      <c r="I66" s="14"/>
    </row>
    <row r="67" spans="1:9" x14ac:dyDescent="0.25">
      <c r="A67" s="10"/>
      <c r="B67" s="5" t="s">
        <v>108</v>
      </c>
      <c r="C67" s="5" t="s">
        <v>108</v>
      </c>
      <c r="D67" s="5" t="str">
        <f>IF(B67=C67,"Y","N")</f>
        <v>Y</v>
      </c>
      <c r="E67" s="5" t="s">
        <v>108</v>
      </c>
      <c r="F67" s="5" t="str">
        <f t="shared" si="0"/>
        <v>Y</v>
      </c>
      <c r="I67" s="14"/>
    </row>
    <row r="68" spans="1:9" x14ac:dyDescent="0.25">
      <c r="A68" s="10"/>
      <c r="B68" s="5" t="s">
        <v>110</v>
      </c>
      <c r="C68" s="5" t="s">
        <v>110</v>
      </c>
      <c r="D68" s="5" t="str">
        <f>IF(B68=C68,"Y","N")</f>
        <v>Y</v>
      </c>
      <c r="E68" s="5" t="s">
        <v>110</v>
      </c>
      <c r="F68" s="5" t="str">
        <f t="shared" ref="F68:F70" si="1">IF(C68=E68,"Y","N")</f>
        <v>Y</v>
      </c>
      <c r="I68" s="14"/>
    </row>
    <row r="69" spans="1:9" x14ac:dyDescent="0.25">
      <c r="A69" s="10"/>
      <c r="B69" s="5" t="s">
        <v>111</v>
      </c>
      <c r="C69" s="5" t="s">
        <v>111</v>
      </c>
      <c r="D69" s="5" t="str">
        <f>IF(B69=C69,"Y","N")</f>
        <v>Y</v>
      </c>
      <c r="E69" s="5" t="s">
        <v>121</v>
      </c>
      <c r="F69" s="5" t="str">
        <f t="shared" si="1"/>
        <v>N</v>
      </c>
    </row>
    <row r="70" spans="1:9" x14ac:dyDescent="0.25">
      <c r="A70" s="10"/>
      <c r="B70" s="5" t="s">
        <v>112</v>
      </c>
      <c r="C70" s="5" t="s">
        <v>112</v>
      </c>
      <c r="D70" s="5" t="str">
        <f>IF(B70=C70,"Y","N")</f>
        <v>Y</v>
      </c>
      <c r="E70" s="5" t="s">
        <v>122</v>
      </c>
      <c r="F70" s="5" t="str">
        <f t="shared" si="1"/>
        <v>N</v>
      </c>
      <c r="I70" s="14"/>
    </row>
  </sheetData>
  <autoFilter ref="A2:J70" xr:uid="{00000000-0001-0000-0100-000000000000}"/>
  <conditionalFormatting sqref="E1 D2:E2 D3:D70 I22 I51 I41:I43 I58:I59 I65:I68 I70 E24:E70 I3:I9 E3:E22 D71:E1048576">
    <cfRule type="cellIs" dxfId="71" priority="3" operator="equal">
      <formula>"N"</formula>
    </cfRule>
  </conditionalFormatting>
  <conditionalFormatting sqref="F3:F70">
    <cfRule type="cellIs" dxfId="70" priority="2" operator="equal">
      <formula>"N"</formula>
    </cfRule>
  </conditionalFormatting>
  <conditionalFormatting sqref="G23">
    <cfRule type="cellIs" dxfId="69" priority="1" operator="equal">
      <formula>"N"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1"/>
  <sheetViews>
    <sheetView workbookViewId="0">
      <pane xSplit="1" ySplit="1" topLeftCell="B2" activePane="bottomRight" state="frozen"/>
      <selection activeCell="I3" sqref="I3:I91"/>
      <selection pane="topRight" activeCell="I3" sqref="I3:I91"/>
      <selection pane="bottomLeft" activeCell="I3" sqref="I3:I91"/>
      <selection pane="bottomRight" activeCell="I3" sqref="I3:I91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9.140625" style="1"/>
    <col min="7" max="7" width="27.7109375" style="1" bestFit="1" customWidth="1"/>
    <col min="8" max="8" width="3.5703125" style="1" bestFit="1" customWidth="1"/>
    <col min="9" max="9" width="24" style="1" bestFit="1" customWidth="1"/>
    <col min="10" max="10" width="26.42578125" style="1" bestFit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7" t="s">
        <v>1</v>
      </c>
    </row>
    <row r="2" spans="1:10" x14ac:dyDescent="0.25">
      <c r="A2" s="3" t="s">
        <v>333</v>
      </c>
      <c r="B2" s="12" t="s">
        <v>128</v>
      </c>
      <c r="C2" s="12" t="s">
        <v>130</v>
      </c>
      <c r="D2" s="5" t="s">
        <v>336</v>
      </c>
      <c r="E2" s="12" t="s">
        <v>129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5" t="s">
        <v>6</v>
      </c>
      <c r="F3" s="5" t="str">
        <f>IF(C3=E3,"Y","N")</f>
        <v>Y</v>
      </c>
      <c r="H3" s="5">
        <v>1</v>
      </c>
      <c r="I3" s="5" t="s">
        <v>13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5" t="s">
        <v>8</v>
      </c>
      <c r="F4" s="5" t="str">
        <f t="shared" ref="F4:F67" si="0">IF(C4=E4,"Y","N")</f>
        <v>Y</v>
      </c>
      <c r="H4" s="5">
        <v>2</v>
      </c>
      <c r="I4" s="5" t="s">
        <v>20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5" t="s">
        <v>9</v>
      </c>
      <c r="F5" s="5" t="str">
        <f t="shared" si="0"/>
        <v>Y</v>
      </c>
      <c r="H5" s="5">
        <v>3</v>
      </c>
      <c r="I5" s="5" t="s">
        <v>22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5" t="s">
        <v>10</v>
      </c>
      <c r="F6" s="5" t="str">
        <f t="shared" si="0"/>
        <v>Y</v>
      </c>
      <c r="H6" s="5">
        <v>4</v>
      </c>
      <c r="I6" s="5" t="s">
        <v>25</v>
      </c>
      <c r="J6" s="5" t="str">
        <f>VLOOKUP(I6,'01-Capacitors'!I:J,2,FALSE)</f>
        <v>some with "DISCRETE" value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5" t="s">
        <v>11</v>
      </c>
      <c r="F7" s="5" t="str">
        <f t="shared" si="0"/>
        <v>Y</v>
      </c>
      <c r="H7" s="5">
        <v>5</v>
      </c>
      <c r="I7" s="5" t="s">
        <v>27</v>
      </c>
      <c r="J7" s="5" t="str">
        <f>VLOOKUP(I7,'01-Capacitors'!I:J,2,FALSE)</f>
        <v>Empty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5" t="s">
        <v>16</v>
      </c>
      <c r="F8" s="5" t="str">
        <f t="shared" si="0"/>
        <v>N</v>
      </c>
      <c r="H8" s="5">
        <v>6</v>
      </c>
      <c r="I8" s="5" t="s">
        <v>29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5" t="s">
        <v>18</v>
      </c>
      <c r="F9" s="5" t="str">
        <f t="shared" si="0"/>
        <v>N</v>
      </c>
      <c r="H9" s="5">
        <v>7</v>
      </c>
      <c r="I9" s="5" t="s">
        <v>52</v>
      </c>
      <c r="J9" s="5" t="str">
        <f>VLOOKUP(I9,'01-Capacitors'!I:J,2,FALSE)</f>
        <v>Empty</v>
      </c>
    </row>
    <row r="10" spans="1:10" x14ac:dyDescent="0.25">
      <c r="A10" s="10"/>
      <c r="B10" s="5" t="s">
        <v>131</v>
      </c>
      <c r="C10" s="5" t="s">
        <v>131</v>
      </c>
      <c r="D10" s="5" t="str">
        <f>IF(B10=C10,"Y","N")</f>
        <v>Y</v>
      </c>
      <c r="E10" s="5" t="s">
        <v>131</v>
      </c>
      <c r="F10" s="5" t="str">
        <f t="shared" si="0"/>
        <v>Y</v>
      </c>
      <c r="H10" s="5">
        <v>8</v>
      </c>
      <c r="I10" s="5" t="s">
        <v>87</v>
      </c>
      <c r="J10" s="5" t="str">
        <f>VLOOKUP(I10,'01-Capacitors'!I:J,2,FALSE)</f>
        <v>Empty</v>
      </c>
    </row>
    <row r="11" spans="1:10" x14ac:dyDescent="0.25">
      <c r="A11" s="10"/>
      <c r="B11" s="5" t="s">
        <v>17</v>
      </c>
      <c r="C11" s="5" t="s">
        <v>17</v>
      </c>
      <c r="D11" s="5" t="str">
        <f>IF(B11=C11,"Y","N")</f>
        <v>Y</v>
      </c>
      <c r="E11" s="5" t="s">
        <v>31</v>
      </c>
      <c r="F11" s="5" t="str">
        <f t="shared" si="0"/>
        <v>N</v>
      </c>
      <c r="H11" s="5">
        <v>9</v>
      </c>
      <c r="I11" s="5" t="s">
        <v>94</v>
      </c>
      <c r="J11" s="5" t="str">
        <f>VLOOKUP(I11,'01-Capacitors'!I:J,2,FALSE)</f>
        <v>Empty</v>
      </c>
    </row>
    <row r="12" spans="1:10" x14ac:dyDescent="0.25">
      <c r="A12" s="10"/>
      <c r="B12" s="5" t="s">
        <v>19</v>
      </c>
      <c r="C12" s="5" t="s">
        <v>19</v>
      </c>
      <c r="D12" s="5" t="str">
        <f>IF(B12=C12,"Y","N")</f>
        <v>Y</v>
      </c>
      <c r="E12" s="5" t="s">
        <v>33</v>
      </c>
      <c r="F12" s="5" t="str">
        <f t="shared" si="0"/>
        <v>N</v>
      </c>
      <c r="H12" s="5">
        <v>10</v>
      </c>
      <c r="I12" s="5" t="s">
        <v>99</v>
      </c>
      <c r="J12" s="5" t="str">
        <f>VLOOKUP(I12,'01-Capacitors'!I:J,2,FALSE)</f>
        <v>Empty</v>
      </c>
    </row>
    <row r="13" spans="1:10" x14ac:dyDescent="0.25">
      <c r="A13" s="10"/>
      <c r="B13" s="5" t="s">
        <v>21</v>
      </c>
      <c r="C13" s="5" t="s">
        <v>21</v>
      </c>
      <c r="D13" s="5" t="str">
        <f>IF(B13=C13,"Y","N")</f>
        <v>Y</v>
      </c>
      <c r="E13" s="5" t="s">
        <v>35</v>
      </c>
      <c r="F13" s="5" t="str">
        <f t="shared" si="0"/>
        <v>N</v>
      </c>
      <c r="H13" s="5">
        <v>11</v>
      </c>
      <c r="I13" s="5" t="s">
        <v>104</v>
      </c>
      <c r="J13" s="5" t="str">
        <f>VLOOKUP(I13,'01-Capacitors'!I:J,2,FALSE)</f>
        <v>Empty</v>
      </c>
    </row>
    <row r="14" spans="1:10" x14ac:dyDescent="0.25">
      <c r="A14" s="10"/>
      <c r="B14" s="5" t="s">
        <v>23</v>
      </c>
      <c r="C14" s="5" t="s">
        <v>23</v>
      </c>
      <c r="D14" s="5" t="str">
        <f>IF(B14=C14,"Y","N")</f>
        <v>Y</v>
      </c>
      <c r="E14" s="5" t="s">
        <v>37</v>
      </c>
      <c r="F14" s="5" t="str">
        <f t="shared" si="0"/>
        <v>N</v>
      </c>
      <c r="H14" s="5">
        <v>12</v>
      </c>
      <c r="I14" s="5" t="s">
        <v>107</v>
      </c>
      <c r="J14" s="5" t="str">
        <f>VLOOKUP(I14,'01-Capacitors'!I:J,2,FALSE)</f>
        <v>Empty</v>
      </c>
    </row>
    <row r="15" spans="1:10" x14ac:dyDescent="0.25">
      <c r="A15" s="10"/>
      <c r="B15" s="5" t="s">
        <v>24</v>
      </c>
      <c r="C15" s="5" t="s">
        <v>24</v>
      </c>
      <c r="D15" s="5" t="str">
        <f>IF(B15=C15,"Y","N")</f>
        <v>Y</v>
      </c>
      <c r="E15" s="5" t="s">
        <v>39</v>
      </c>
      <c r="F15" s="5" t="str">
        <f t="shared" si="0"/>
        <v>N</v>
      </c>
      <c r="H15" s="5">
        <v>13</v>
      </c>
      <c r="I15" s="5" t="s">
        <v>109</v>
      </c>
      <c r="J15" s="5" t="str">
        <f>VLOOKUP(I15,'01-Capacitors'!I:J,2,FALSE)</f>
        <v>Empty</v>
      </c>
    </row>
    <row r="16" spans="1:10" x14ac:dyDescent="0.25">
      <c r="A16" s="10"/>
      <c r="B16" s="5" t="s">
        <v>26</v>
      </c>
      <c r="C16" s="5" t="s">
        <v>26</v>
      </c>
      <c r="D16" s="5" t="str">
        <f>IF(B16=C16,"Y","N")</f>
        <v>Y</v>
      </c>
      <c r="E16" s="5" t="s">
        <v>41</v>
      </c>
      <c r="F16" s="5" t="str">
        <f t="shared" si="0"/>
        <v>N</v>
      </c>
      <c r="H16" s="5">
        <v>14</v>
      </c>
      <c r="I16" s="5" t="s">
        <v>113</v>
      </c>
      <c r="J16" s="5" t="str">
        <f>VLOOKUP(I16,'01-Capacitors'!I:J,2,FALSE)</f>
        <v>Empty</v>
      </c>
    </row>
    <row r="17" spans="1:10" x14ac:dyDescent="0.25">
      <c r="A17" s="10"/>
      <c r="B17" s="5" t="s">
        <v>28</v>
      </c>
      <c r="C17" s="5" t="s">
        <v>28</v>
      </c>
      <c r="D17" s="5" t="str">
        <f>IF(B17=C17,"Y","N")</f>
        <v>Y</v>
      </c>
      <c r="E17" s="5" t="s">
        <v>43</v>
      </c>
      <c r="F17" s="5" t="str">
        <f t="shared" si="0"/>
        <v>N</v>
      </c>
      <c r="H17" s="5">
        <v>15</v>
      </c>
      <c r="I17" s="5" t="s">
        <v>114</v>
      </c>
      <c r="J17" s="5" t="str">
        <f>VLOOKUP(I17,'01-Capacitors'!I:J,2,FALSE)</f>
        <v>Empty</v>
      </c>
    </row>
    <row r="18" spans="1:10" x14ac:dyDescent="0.25">
      <c r="A18" s="10"/>
      <c r="B18" s="5" t="s">
        <v>30</v>
      </c>
      <c r="C18" s="5" t="s">
        <v>30</v>
      </c>
      <c r="D18" s="5" t="str">
        <f>IF(B18=C18,"Y","N")</f>
        <v>Y</v>
      </c>
      <c r="E18" s="5" t="s">
        <v>30</v>
      </c>
      <c r="F18" s="5" t="str">
        <f t="shared" si="0"/>
        <v>Y</v>
      </c>
      <c r="H18" s="5">
        <v>16</v>
      </c>
      <c r="I18" s="5" t="s">
        <v>115</v>
      </c>
      <c r="J18" s="5" t="str">
        <f>VLOOKUP(I18,'01-Capacitors'!I:J,2,FALSE)</f>
        <v>Empty</v>
      </c>
    </row>
    <row r="19" spans="1:10" x14ac:dyDescent="0.25">
      <c r="A19" s="10"/>
      <c r="B19" s="5" t="s">
        <v>32</v>
      </c>
      <c r="C19" s="5" t="s">
        <v>32</v>
      </c>
      <c r="D19" s="5" t="str">
        <f>IF(B19=C19,"Y","N")</f>
        <v>Y</v>
      </c>
      <c r="E19" s="5" t="s">
        <v>32</v>
      </c>
      <c r="F19" s="5" t="str">
        <f t="shared" si="0"/>
        <v>Y</v>
      </c>
      <c r="H19" s="5">
        <v>17</v>
      </c>
      <c r="I19" s="5" t="s">
        <v>116</v>
      </c>
      <c r="J19" s="5" t="str">
        <f>VLOOKUP(I19,'01-Capacitors'!I:J,2,FALSE)</f>
        <v>Empty</v>
      </c>
    </row>
    <row r="20" spans="1:10" x14ac:dyDescent="0.25">
      <c r="A20" s="10"/>
      <c r="B20" s="5" t="s">
        <v>36</v>
      </c>
      <c r="C20" s="5" t="s">
        <v>36</v>
      </c>
      <c r="D20" s="5" t="str">
        <f>IF(B20=C20,"Y","N")</f>
        <v>Y</v>
      </c>
      <c r="E20" s="5" t="s">
        <v>36</v>
      </c>
      <c r="F20" s="5" t="str">
        <f t="shared" si="0"/>
        <v>Y</v>
      </c>
      <c r="H20" s="5">
        <v>18</v>
      </c>
      <c r="I20" s="5" t="s">
        <v>117</v>
      </c>
      <c r="J20" s="5" t="str">
        <f>VLOOKUP(I20,'01-Capacitors'!I:J,2,FALSE)</f>
        <v>Empty</v>
      </c>
    </row>
    <row r="21" spans="1:10" x14ac:dyDescent="0.25">
      <c r="A21" s="10"/>
      <c r="B21" s="5" t="s">
        <v>38</v>
      </c>
      <c r="C21" s="5" t="s">
        <v>38</v>
      </c>
      <c r="D21" s="5" t="str">
        <f>IF(B21=C21,"Y","N")</f>
        <v>Y</v>
      </c>
      <c r="E21" s="5" t="s">
        <v>38</v>
      </c>
      <c r="F21" s="5" t="str">
        <f t="shared" si="0"/>
        <v>Y</v>
      </c>
      <c r="H21" s="5">
        <v>19</v>
      </c>
      <c r="I21" s="5" t="s">
        <v>118</v>
      </c>
      <c r="J21" s="5" t="str">
        <f>VLOOKUP(I21,'01-Capacitors'!I:J,2,FALSE)</f>
        <v>Empty</v>
      </c>
    </row>
    <row r="22" spans="1:10" x14ac:dyDescent="0.25">
      <c r="A22" s="10"/>
      <c r="B22" s="5" t="s">
        <v>42</v>
      </c>
      <c r="C22" s="5" t="s">
        <v>42</v>
      </c>
      <c r="D22" s="5" t="str">
        <f>IF(B22=C22,"Y","N")</f>
        <v>Y</v>
      </c>
      <c r="E22" s="5" t="s">
        <v>42</v>
      </c>
      <c r="F22" s="5" t="str">
        <f t="shared" si="0"/>
        <v>Y</v>
      </c>
      <c r="H22" s="5">
        <v>20</v>
      </c>
      <c r="I22" s="5" t="s">
        <v>119</v>
      </c>
      <c r="J22" s="5" t="str">
        <f>VLOOKUP(I22,'01-Capacitors'!I:J,2,FALSE)</f>
        <v>Empty</v>
      </c>
    </row>
    <row r="23" spans="1:10" x14ac:dyDescent="0.25">
      <c r="A23" s="10"/>
      <c r="B23" s="5" t="s">
        <v>44</v>
      </c>
      <c r="C23" s="5" t="s">
        <v>44</v>
      </c>
      <c r="D23" s="5" t="str">
        <f>IF(B23=C23,"Y","N")</f>
        <v>Y</v>
      </c>
      <c r="E23" s="5" t="s">
        <v>44</v>
      </c>
      <c r="F23" s="5" t="str">
        <f t="shared" si="0"/>
        <v>Y</v>
      </c>
      <c r="H23" s="5">
        <v>21</v>
      </c>
      <c r="I23" s="5" t="s">
        <v>120</v>
      </c>
      <c r="J23" s="5" t="str">
        <f>VLOOKUP(I23,'01-Capacitors'!I:J,2,FALSE)</f>
        <v>Empty</v>
      </c>
    </row>
    <row r="24" spans="1:10" x14ac:dyDescent="0.25">
      <c r="A24" s="10"/>
      <c r="B24" s="5" t="s">
        <v>45</v>
      </c>
      <c r="C24" s="5" t="s">
        <v>45</v>
      </c>
      <c r="D24" s="5" t="str">
        <f>IF(B24=C24,"Y","N")</f>
        <v>Y</v>
      </c>
      <c r="E24" s="5"/>
      <c r="F24" s="5" t="str">
        <f t="shared" si="0"/>
        <v>N</v>
      </c>
      <c r="G24" s="14" t="s">
        <v>341</v>
      </c>
      <c r="H24" s="5">
        <v>22</v>
      </c>
      <c r="I24" s="5" t="s">
        <v>7</v>
      </c>
      <c r="J24" s="5" t="str">
        <f>VLOOKUP(I24,'01-Capacitors'!I:J,2,FALSE)</f>
        <v>Empty</v>
      </c>
    </row>
    <row r="25" spans="1:10" x14ac:dyDescent="0.25">
      <c r="A25" s="10"/>
      <c r="B25" s="5" t="s">
        <v>46</v>
      </c>
      <c r="C25" s="5" t="s">
        <v>46</v>
      </c>
      <c r="D25" s="5" t="str">
        <f>IF(B25=C25,"Y","N")</f>
        <v>Y</v>
      </c>
      <c r="E25" s="5" t="s">
        <v>46</v>
      </c>
      <c r="F25" s="5" t="str">
        <f t="shared" si="0"/>
        <v>Y</v>
      </c>
    </row>
    <row r="26" spans="1:10" x14ac:dyDescent="0.25">
      <c r="A26" s="10"/>
      <c r="B26" s="5" t="s">
        <v>47</v>
      </c>
      <c r="C26" s="5" t="s">
        <v>47</v>
      </c>
      <c r="D26" s="5" t="str">
        <f>IF(B26=C26,"Y","N")</f>
        <v>Y</v>
      </c>
      <c r="E26" s="5" t="s">
        <v>56</v>
      </c>
      <c r="F26" s="5" t="str">
        <f t="shared" si="0"/>
        <v>N</v>
      </c>
    </row>
    <row r="27" spans="1:10" x14ac:dyDescent="0.25">
      <c r="A27" s="10"/>
      <c r="B27" s="5" t="s">
        <v>48</v>
      </c>
      <c r="C27" s="5" t="s">
        <v>48</v>
      </c>
      <c r="D27" s="5" t="str">
        <f>IF(B27=C27,"Y","N")</f>
        <v>Y</v>
      </c>
      <c r="E27" s="5" t="s">
        <v>58</v>
      </c>
      <c r="F27" s="5" t="str">
        <f t="shared" si="0"/>
        <v>N</v>
      </c>
    </row>
    <row r="28" spans="1:10" x14ac:dyDescent="0.25">
      <c r="A28" s="10"/>
      <c r="B28" s="5" t="s">
        <v>49</v>
      </c>
      <c r="C28" s="5" t="s">
        <v>49</v>
      </c>
      <c r="D28" s="5" t="str">
        <f>IF(B28=C28,"Y","N")</f>
        <v>Y</v>
      </c>
      <c r="E28" s="5" t="s">
        <v>60</v>
      </c>
      <c r="F28" s="5" t="str">
        <f t="shared" si="0"/>
        <v>N</v>
      </c>
    </row>
    <row r="29" spans="1:10" x14ac:dyDescent="0.25">
      <c r="A29" s="10"/>
      <c r="B29" s="5" t="s">
        <v>50</v>
      </c>
      <c r="C29" s="5" t="s">
        <v>50</v>
      </c>
      <c r="D29" s="5" t="str">
        <f>IF(B29=C29,"Y","N")</f>
        <v>Y</v>
      </c>
      <c r="E29" s="5" t="s">
        <v>62</v>
      </c>
      <c r="F29" s="5" t="str">
        <f t="shared" si="0"/>
        <v>N</v>
      </c>
    </row>
    <row r="30" spans="1:10" x14ac:dyDescent="0.25">
      <c r="A30" s="10"/>
      <c r="B30" s="5" t="s">
        <v>51</v>
      </c>
      <c r="C30" s="5" t="s">
        <v>51</v>
      </c>
      <c r="D30" s="5" t="str">
        <f>IF(B30=C30,"Y","N")</f>
        <v>Y</v>
      </c>
      <c r="E30" s="5" t="s">
        <v>64</v>
      </c>
      <c r="F30" s="5" t="str">
        <f t="shared" si="0"/>
        <v>N</v>
      </c>
    </row>
    <row r="31" spans="1:10" x14ac:dyDescent="0.25">
      <c r="A31" s="10"/>
      <c r="B31" s="5" t="s">
        <v>53</v>
      </c>
      <c r="C31" s="5" t="s">
        <v>53</v>
      </c>
      <c r="D31" s="5" t="str">
        <f>IF(B31=C31,"Y","N")</f>
        <v>Y</v>
      </c>
      <c r="E31" s="5" t="s">
        <v>66</v>
      </c>
      <c r="F31" s="5" t="str">
        <f t="shared" si="0"/>
        <v>N</v>
      </c>
    </row>
    <row r="32" spans="1:10" x14ac:dyDescent="0.25">
      <c r="A32" s="10"/>
      <c r="B32" s="5" t="s">
        <v>54</v>
      </c>
      <c r="C32" s="5" t="s">
        <v>54</v>
      </c>
      <c r="D32" s="5" t="str">
        <f>IF(B32=C32,"Y","N")</f>
        <v>Y</v>
      </c>
      <c r="E32" s="5" t="s">
        <v>68</v>
      </c>
      <c r="F32" s="5" t="str">
        <f t="shared" si="0"/>
        <v>N</v>
      </c>
    </row>
    <row r="33" spans="1:6" x14ac:dyDescent="0.25">
      <c r="A33" s="10"/>
      <c r="B33" s="5" t="s">
        <v>55</v>
      </c>
      <c r="C33" s="5" t="s">
        <v>55</v>
      </c>
      <c r="D33" s="5" t="str">
        <f>IF(B33=C33,"Y","N")</f>
        <v>Y</v>
      </c>
      <c r="E33" s="5" t="s">
        <v>70</v>
      </c>
      <c r="F33" s="5" t="str">
        <f t="shared" si="0"/>
        <v>N</v>
      </c>
    </row>
    <row r="34" spans="1:6" x14ac:dyDescent="0.25">
      <c r="A34" s="10"/>
      <c r="B34" s="5" t="s">
        <v>57</v>
      </c>
      <c r="C34" s="5" t="s">
        <v>57</v>
      </c>
      <c r="D34" s="5" t="str">
        <f>IF(B34=C34,"Y","N")</f>
        <v>Y</v>
      </c>
      <c r="E34" s="5" t="s">
        <v>72</v>
      </c>
      <c r="F34" s="5" t="str">
        <f t="shared" si="0"/>
        <v>N</v>
      </c>
    </row>
    <row r="35" spans="1:6" x14ac:dyDescent="0.25">
      <c r="A35" s="10"/>
      <c r="B35" s="5" t="s">
        <v>59</v>
      </c>
      <c r="C35" s="5" t="s">
        <v>59</v>
      </c>
      <c r="D35" s="5" t="str">
        <f>IF(B35=C35,"Y","N")</f>
        <v>Y</v>
      </c>
      <c r="E35" s="5" t="s">
        <v>74</v>
      </c>
      <c r="F35" s="5" t="str">
        <f t="shared" si="0"/>
        <v>N</v>
      </c>
    </row>
    <row r="36" spans="1:6" x14ac:dyDescent="0.25">
      <c r="A36" s="10"/>
      <c r="B36" s="5" t="s">
        <v>61</v>
      </c>
      <c r="C36" s="5" t="s">
        <v>61</v>
      </c>
      <c r="D36" s="5" t="str">
        <f>IF(B36=C36,"Y","N")</f>
        <v>Y</v>
      </c>
      <c r="E36" s="5" t="s">
        <v>76</v>
      </c>
      <c r="F36" s="5" t="str">
        <f t="shared" si="0"/>
        <v>N</v>
      </c>
    </row>
    <row r="37" spans="1:6" x14ac:dyDescent="0.25">
      <c r="A37" s="10"/>
      <c r="B37" s="5" t="s">
        <v>63</v>
      </c>
      <c r="C37" s="5" t="s">
        <v>63</v>
      </c>
      <c r="D37" s="5" t="str">
        <f>IF(B37=C37,"Y","N")</f>
        <v>Y</v>
      </c>
      <c r="E37" s="5" t="s">
        <v>78</v>
      </c>
      <c r="F37" s="5" t="str">
        <f t="shared" si="0"/>
        <v>N</v>
      </c>
    </row>
    <row r="38" spans="1:6" x14ac:dyDescent="0.25">
      <c r="A38" s="10"/>
      <c r="B38" s="5" t="s">
        <v>65</v>
      </c>
      <c r="C38" s="5" t="s">
        <v>65</v>
      </c>
      <c r="D38" s="5" t="str">
        <f>IF(B38=C38,"Y","N")</f>
        <v>Y</v>
      </c>
      <c r="E38" s="5" t="s">
        <v>80</v>
      </c>
      <c r="F38" s="5" t="str">
        <f t="shared" si="0"/>
        <v>N</v>
      </c>
    </row>
    <row r="39" spans="1:6" x14ac:dyDescent="0.25">
      <c r="A39" s="10"/>
      <c r="B39" s="5" t="s">
        <v>67</v>
      </c>
      <c r="C39" s="5" t="s">
        <v>67</v>
      </c>
      <c r="D39" s="5" t="str">
        <f>IF(B39=C39,"Y","N")</f>
        <v>Y</v>
      </c>
      <c r="E39" s="5" t="s">
        <v>82</v>
      </c>
      <c r="F39" s="5" t="str">
        <f t="shared" si="0"/>
        <v>N</v>
      </c>
    </row>
    <row r="40" spans="1:6" x14ac:dyDescent="0.25">
      <c r="A40" s="10"/>
      <c r="B40" s="5" t="s">
        <v>69</v>
      </c>
      <c r="C40" s="5" t="s">
        <v>69</v>
      </c>
      <c r="D40" s="5" t="str">
        <f>IF(B40=C40,"Y","N")</f>
        <v>Y</v>
      </c>
      <c r="E40" s="5" t="s">
        <v>84</v>
      </c>
      <c r="F40" s="5" t="str">
        <f t="shared" si="0"/>
        <v>N</v>
      </c>
    </row>
    <row r="41" spans="1:6" x14ac:dyDescent="0.25">
      <c r="A41" s="10"/>
      <c r="B41" s="5" t="s">
        <v>71</v>
      </c>
      <c r="C41" s="5" t="s">
        <v>71</v>
      </c>
      <c r="D41" s="5" t="str">
        <f>IF(B41=C41,"Y","N")</f>
        <v>Y</v>
      </c>
      <c r="E41" s="5" t="s">
        <v>71</v>
      </c>
      <c r="F41" s="5" t="str">
        <f t="shared" si="0"/>
        <v>Y</v>
      </c>
    </row>
    <row r="42" spans="1:6" x14ac:dyDescent="0.25">
      <c r="A42" s="10"/>
      <c r="B42" s="5" t="s">
        <v>132</v>
      </c>
      <c r="C42" s="5" t="s">
        <v>132</v>
      </c>
      <c r="D42" s="5" t="str">
        <f>IF(B42=C42,"Y","N")</f>
        <v>Y</v>
      </c>
      <c r="E42" s="5" t="s">
        <v>132</v>
      </c>
      <c r="F42" s="5" t="str">
        <f t="shared" si="0"/>
        <v>Y</v>
      </c>
    </row>
    <row r="43" spans="1:6" x14ac:dyDescent="0.25">
      <c r="A43" s="10"/>
      <c r="B43" s="5" t="s">
        <v>133</v>
      </c>
      <c r="C43" s="5" t="s">
        <v>133</v>
      </c>
      <c r="D43" s="5" t="str">
        <f>IF(B43=C43,"Y","N")</f>
        <v>Y</v>
      </c>
      <c r="E43" s="5" t="s">
        <v>133</v>
      </c>
      <c r="F43" s="5" t="str">
        <f t="shared" si="0"/>
        <v>Y</v>
      </c>
    </row>
    <row r="44" spans="1:6" x14ac:dyDescent="0.25">
      <c r="A44" s="10"/>
      <c r="B44" s="5" t="s">
        <v>73</v>
      </c>
      <c r="C44" s="5" t="s">
        <v>73</v>
      </c>
      <c r="D44" s="5" t="str">
        <f>IF(B44=C44,"Y","N")</f>
        <v>Y</v>
      </c>
      <c r="E44" s="5" t="s">
        <v>73</v>
      </c>
      <c r="F44" s="5" t="str">
        <f t="shared" si="0"/>
        <v>Y</v>
      </c>
    </row>
    <row r="45" spans="1:6" x14ac:dyDescent="0.25">
      <c r="A45" s="10"/>
      <c r="B45" s="5" t="s">
        <v>75</v>
      </c>
      <c r="C45" s="5" t="s">
        <v>75</v>
      </c>
      <c r="D45" s="5" t="str">
        <f>IF(B45=C45,"Y","N")</f>
        <v>Y</v>
      </c>
      <c r="E45" s="5" t="s">
        <v>75</v>
      </c>
      <c r="F45" s="5" t="str">
        <f t="shared" si="0"/>
        <v>Y</v>
      </c>
    </row>
    <row r="46" spans="1:6" x14ac:dyDescent="0.25">
      <c r="A46" s="10"/>
      <c r="B46" s="5" t="s">
        <v>77</v>
      </c>
      <c r="C46" s="5" t="s">
        <v>77</v>
      </c>
      <c r="D46" s="5" t="str">
        <f>IF(B46=C46,"Y","N")</f>
        <v>Y</v>
      </c>
      <c r="E46" s="5" t="s">
        <v>77</v>
      </c>
      <c r="F46" s="5" t="str">
        <f t="shared" si="0"/>
        <v>Y</v>
      </c>
    </row>
    <row r="47" spans="1:6" x14ac:dyDescent="0.25">
      <c r="A47" s="10"/>
      <c r="B47" s="5" t="s">
        <v>79</v>
      </c>
      <c r="C47" s="5" t="s">
        <v>79</v>
      </c>
      <c r="D47" s="5" t="str">
        <f>IF(B47=C47,"Y","N")</f>
        <v>Y</v>
      </c>
      <c r="E47" s="5" t="s">
        <v>79</v>
      </c>
      <c r="F47" s="5" t="str">
        <f t="shared" si="0"/>
        <v>Y</v>
      </c>
    </row>
    <row r="48" spans="1:6" x14ac:dyDescent="0.25">
      <c r="A48" s="10"/>
      <c r="B48" s="5" t="s">
        <v>81</v>
      </c>
      <c r="C48" s="5" t="s">
        <v>81</v>
      </c>
      <c r="D48" s="5" t="str">
        <f>IF(B48=C48,"Y","N")</f>
        <v>Y</v>
      </c>
      <c r="E48" s="5" t="s">
        <v>81</v>
      </c>
      <c r="F48" s="5" t="str">
        <f t="shared" si="0"/>
        <v>Y</v>
      </c>
    </row>
    <row r="49" spans="1:6" x14ac:dyDescent="0.25">
      <c r="A49" s="10"/>
      <c r="B49" s="5" t="s">
        <v>83</v>
      </c>
      <c r="C49" s="5" t="s">
        <v>83</v>
      </c>
      <c r="D49" s="5" t="str">
        <f>IF(B49=C49,"Y","N")</f>
        <v>Y</v>
      </c>
      <c r="E49" s="5" t="s">
        <v>83</v>
      </c>
      <c r="F49" s="5" t="str">
        <f t="shared" si="0"/>
        <v>Y</v>
      </c>
    </row>
    <row r="50" spans="1:6" x14ac:dyDescent="0.25">
      <c r="A50" s="10"/>
      <c r="B50" s="5" t="s">
        <v>85</v>
      </c>
      <c r="C50" s="5" t="s">
        <v>85</v>
      </c>
      <c r="D50" s="5" t="str">
        <f>IF(B50=C50,"Y","N")</f>
        <v>Y</v>
      </c>
      <c r="E50" s="5" t="s">
        <v>85</v>
      </c>
      <c r="F50" s="5" t="str">
        <f t="shared" si="0"/>
        <v>Y</v>
      </c>
    </row>
    <row r="51" spans="1:6" x14ac:dyDescent="0.25">
      <c r="A51" s="10"/>
      <c r="B51" s="5" t="s">
        <v>86</v>
      </c>
      <c r="C51" s="5" t="s">
        <v>86</v>
      </c>
      <c r="D51" s="5" t="str">
        <f>IF(B51=C51,"Y","N")</f>
        <v>Y</v>
      </c>
      <c r="E51" s="5" t="s">
        <v>86</v>
      </c>
      <c r="F51" s="5" t="str">
        <f t="shared" si="0"/>
        <v>Y</v>
      </c>
    </row>
    <row r="52" spans="1:6" x14ac:dyDescent="0.25">
      <c r="A52" s="10"/>
      <c r="B52" s="5" t="s">
        <v>88</v>
      </c>
      <c r="C52" s="5" t="s">
        <v>88</v>
      </c>
      <c r="D52" s="5" t="str">
        <f>IF(B52=C52,"Y","N")</f>
        <v>Y</v>
      </c>
      <c r="E52" s="5" t="s">
        <v>88</v>
      </c>
      <c r="F52" s="5" t="str">
        <f t="shared" si="0"/>
        <v>Y</v>
      </c>
    </row>
    <row r="53" spans="1:6" x14ac:dyDescent="0.25">
      <c r="A53" s="10"/>
      <c r="B53" s="5" t="s">
        <v>89</v>
      </c>
      <c r="C53" s="5" t="s">
        <v>89</v>
      </c>
      <c r="D53" s="5" t="str">
        <f>IF(B53=C53,"Y","N")</f>
        <v>Y</v>
      </c>
      <c r="E53" s="5" t="s">
        <v>89</v>
      </c>
      <c r="F53" s="5" t="str">
        <f t="shared" si="0"/>
        <v>Y</v>
      </c>
    </row>
    <row r="54" spans="1:6" x14ac:dyDescent="0.25">
      <c r="A54" s="10"/>
      <c r="B54" s="5" t="s">
        <v>90</v>
      </c>
      <c r="C54" s="5" t="s">
        <v>90</v>
      </c>
      <c r="D54" s="5" t="str">
        <f>IF(B54=C54,"Y","N")</f>
        <v>Y</v>
      </c>
      <c r="E54" s="5" t="s">
        <v>90</v>
      </c>
      <c r="F54" s="5" t="str">
        <f t="shared" si="0"/>
        <v>Y</v>
      </c>
    </row>
    <row r="55" spans="1:6" x14ac:dyDescent="0.25">
      <c r="A55" s="10"/>
      <c r="B55" s="5" t="s">
        <v>91</v>
      </c>
      <c r="C55" s="5" t="s">
        <v>91</v>
      </c>
      <c r="D55" s="5" t="str">
        <f>IF(B55=C55,"Y","N")</f>
        <v>Y</v>
      </c>
      <c r="E55" s="5" t="s">
        <v>91</v>
      </c>
      <c r="F55" s="5" t="str">
        <f t="shared" si="0"/>
        <v>Y</v>
      </c>
    </row>
    <row r="56" spans="1:6" x14ac:dyDescent="0.25">
      <c r="A56" s="10"/>
      <c r="B56" s="5" t="s">
        <v>92</v>
      </c>
      <c r="C56" s="5" t="s">
        <v>92</v>
      </c>
      <c r="D56" s="5" t="str">
        <f>IF(B56=C56,"Y","N")</f>
        <v>Y</v>
      </c>
      <c r="E56" s="5" t="s">
        <v>92</v>
      </c>
      <c r="F56" s="5" t="str">
        <f t="shared" si="0"/>
        <v>Y</v>
      </c>
    </row>
    <row r="57" spans="1:6" x14ac:dyDescent="0.25">
      <c r="A57" s="10"/>
      <c r="B57" s="5" t="s">
        <v>93</v>
      </c>
      <c r="C57" s="5" t="s">
        <v>93</v>
      </c>
      <c r="D57" s="5" t="str">
        <f>IF(B57=C57,"Y","N")</f>
        <v>Y</v>
      </c>
      <c r="E57" s="5" t="s">
        <v>93</v>
      </c>
      <c r="F57" s="5" t="str">
        <f t="shared" si="0"/>
        <v>Y</v>
      </c>
    </row>
    <row r="58" spans="1:6" x14ac:dyDescent="0.25">
      <c r="A58" s="10"/>
      <c r="B58" s="5" t="s">
        <v>95</v>
      </c>
      <c r="C58" s="5" t="s">
        <v>95</v>
      </c>
      <c r="D58" s="5" t="str">
        <f>IF(B58=C58,"Y","N")</f>
        <v>Y</v>
      </c>
      <c r="E58" s="5" t="s">
        <v>95</v>
      </c>
      <c r="F58" s="5" t="str">
        <f t="shared" si="0"/>
        <v>Y</v>
      </c>
    </row>
    <row r="59" spans="1:6" x14ac:dyDescent="0.25">
      <c r="A59" s="10"/>
      <c r="B59" s="5" t="s">
        <v>96</v>
      </c>
      <c r="C59" s="5" t="s">
        <v>96</v>
      </c>
      <c r="D59" s="5" t="str">
        <f>IF(B59=C59,"Y","N")</f>
        <v>Y</v>
      </c>
      <c r="E59" s="5" t="s">
        <v>96</v>
      </c>
      <c r="F59" s="5" t="str">
        <f t="shared" si="0"/>
        <v>Y</v>
      </c>
    </row>
    <row r="60" spans="1:6" x14ac:dyDescent="0.25">
      <c r="A60" s="10"/>
      <c r="B60" s="5" t="s">
        <v>97</v>
      </c>
      <c r="C60" s="5" t="s">
        <v>97</v>
      </c>
      <c r="D60" s="5" t="str">
        <f>IF(B60=C60,"Y","N")</f>
        <v>Y</v>
      </c>
      <c r="E60" s="5" t="s">
        <v>97</v>
      </c>
      <c r="F60" s="5" t="str">
        <f t="shared" si="0"/>
        <v>Y</v>
      </c>
    </row>
    <row r="61" spans="1:6" x14ac:dyDescent="0.25">
      <c r="A61" s="10"/>
      <c r="B61" s="5" t="s">
        <v>98</v>
      </c>
      <c r="C61" s="5" t="s">
        <v>98</v>
      </c>
      <c r="D61" s="5" t="str">
        <f>IF(B61=C61,"Y","N")</f>
        <v>Y</v>
      </c>
      <c r="E61" s="5" t="s">
        <v>98</v>
      </c>
      <c r="F61" s="5" t="str">
        <f t="shared" si="0"/>
        <v>Y</v>
      </c>
    </row>
    <row r="62" spans="1:6" x14ac:dyDescent="0.25">
      <c r="A62" s="10"/>
      <c r="B62" s="5" t="s">
        <v>100</v>
      </c>
      <c r="C62" s="5" t="s">
        <v>100</v>
      </c>
      <c r="D62" s="5" t="str">
        <f>IF(B62=C62,"Y","N")</f>
        <v>Y</v>
      </c>
      <c r="E62" s="5" t="s">
        <v>100</v>
      </c>
      <c r="F62" s="5" t="str">
        <f t="shared" si="0"/>
        <v>Y</v>
      </c>
    </row>
    <row r="63" spans="1:6" x14ac:dyDescent="0.25">
      <c r="A63" s="10"/>
      <c r="B63" s="5" t="s">
        <v>101</v>
      </c>
      <c r="C63" s="5" t="s">
        <v>101</v>
      </c>
      <c r="D63" s="5" t="str">
        <f>IF(B63=C63,"Y","N")</f>
        <v>Y</v>
      </c>
      <c r="E63" s="5" t="s">
        <v>101</v>
      </c>
      <c r="F63" s="5" t="str">
        <f t="shared" si="0"/>
        <v>Y</v>
      </c>
    </row>
    <row r="64" spans="1:6" x14ac:dyDescent="0.25">
      <c r="A64" s="10"/>
      <c r="B64" s="5" t="s">
        <v>102</v>
      </c>
      <c r="C64" s="5" t="s">
        <v>102</v>
      </c>
      <c r="D64" s="5" t="str">
        <f>IF(B64=C64,"Y","N")</f>
        <v>Y</v>
      </c>
      <c r="E64" s="5" t="s">
        <v>102</v>
      </c>
      <c r="F64" s="5" t="str">
        <f t="shared" si="0"/>
        <v>Y</v>
      </c>
    </row>
    <row r="65" spans="1:6" x14ac:dyDescent="0.25">
      <c r="A65" s="10"/>
      <c r="B65" s="5" t="s">
        <v>103</v>
      </c>
      <c r="C65" s="5" t="s">
        <v>103</v>
      </c>
      <c r="D65" s="5" t="str">
        <f>IF(B65=C65,"Y","N")</f>
        <v>Y</v>
      </c>
      <c r="E65" s="5" t="s">
        <v>103</v>
      </c>
      <c r="F65" s="5" t="str">
        <f t="shared" si="0"/>
        <v>Y</v>
      </c>
    </row>
    <row r="66" spans="1:6" x14ac:dyDescent="0.25">
      <c r="A66" s="10"/>
      <c r="B66" s="5" t="s">
        <v>105</v>
      </c>
      <c r="C66" s="5" t="s">
        <v>105</v>
      </c>
      <c r="D66" s="5" t="str">
        <f>IF(B66=C66,"Y","N")</f>
        <v>Y</v>
      </c>
      <c r="E66" s="5" t="s">
        <v>105</v>
      </c>
      <c r="F66" s="5" t="str">
        <f t="shared" si="0"/>
        <v>Y</v>
      </c>
    </row>
    <row r="67" spans="1:6" x14ac:dyDescent="0.25">
      <c r="A67" s="10"/>
      <c r="B67" s="5" t="s">
        <v>106</v>
      </c>
      <c r="C67" s="5" t="s">
        <v>106</v>
      </c>
      <c r="D67" s="5" t="str">
        <f>IF(B67=C67,"Y","N")</f>
        <v>Y</v>
      </c>
      <c r="E67" s="5" t="s">
        <v>106</v>
      </c>
      <c r="F67" s="5" t="str">
        <f t="shared" si="0"/>
        <v>Y</v>
      </c>
    </row>
    <row r="68" spans="1:6" x14ac:dyDescent="0.25">
      <c r="A68" s="10"/>
      <c r="B68" s="5" t="s">
        <v>110</v>
      </c>
      <c r="C68" s="5" t="s">
        <v>110</v>
      </c>
      <c r="D68" s="5" t="str">
        <f>IF(B68=C68,"Y","N")</f>
        <v>Y</v>
      </c>
      <c r="E68" s="5" t="s">
        <v>110</v>
      </c>
      <c r="F68" s="5" t="str">
        <f t="shared" ref="F68:F71" si="1">IF(C68=E68,"Y","N")</f>
        <v>Y</v>
      </c>
    </row>
    <row r="69" spans="1:6" x14ac:dyDescent="0.25">
      <c r="A69" s="10"/>
      <c r="B69" s="5" t="s">
        <v>111</v>
      </c>
      <c r="C69" s="5" t="s">
        <v>111</v>
      </c>
      <c r="D69" s="5" t="str">
        <f>IF(B69=C69,"Y","N")</f>
        <v>Y</v>
      </c>
      <c r="E69" s="5" t="s">
        <v>121</v>
      </c>
      <c r="F69" s="5" t="str">
        <f t="shared" si="1"/>
        <v>N</v>
      </c>
    </row>
    <row r="70" spans="1:6" x14ac:dyDescent="0.25">
      <c r="A70" s="10"/>
      <c r="B70" s="5" t="s">
        <v>112</v>
      </c>
      <c r="C70" s="5" t="s">
        <v>112</v>
      </c>
      <c r="D70" s="5" t="str">
        <f>IF(B70=C70,"Y","N")</f>
        <v>Y</v>
      </c>
      <c r="E70" s="5" t="s">
        <v>122</v>
      </c>
      <c r="F70" s="5" t="str">
        <f t="shared" si="1"/>
        <v>N</v>
      </c>
    </row>
    <row r="71" spans="1:6" x14ac:dyDescent="0.25">
      <c r="A71" s="10"/>
      <c r="B71" s="5" t="s">
        <v>134</v>
      </c>
      <c r="C71" s="5" t="s">
        <v>134</v>
      </c>
      <c r="D71" s="5" t="str">
        <f>IF(B71=C71,"Y","N")</f>
        <v>Y</v>
      </c>
      <c r="E71" s="5" t="s">
        <v>134</v>
      </c>
      <c r="F71" s="5" t="str">
        <f t="shared" si="1"/>
        <v>Y</v>
      </c>
    </row>
  </sheetData>
  <autoFilter ref="A2:J71" xr:uid="{00000000-0001-0000-0200-000000000000}"/>
  <conditionalFormatting sqref="E1 D47 D2:E2 D48:E51 D52:D54 D8:E46 D3:D7 D55:E1048576">
    <cfRule type="cellIs" dxfId="68" priority="3" operator="equal">
      <formula>"N"</formula>
    </cfRule>
  </conditionalFormatting>
  <conditionalFormatting sqref="F3:F71">
    <cfRule type="cellIs" dxfId="67" priority="2" operator="equal">
      <formula>"N"</formula>
    </cfRule>
  </conditionalFormatting>
  <conditionalFormatting sqref="G24">
    <cfRule type="cellIs" dxfId="66" priority="1" operator="equal">
      <formula>"N"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1"/>
  <sheetViews>
    <sheetView workbookViewId="0">
      <pane xSplit="1" ySplit="1" topLeftCell="B2" activePane="bottomRight" state="frozen"/>
      <selection activeCell="I3" sqref="I3:I91"/>
      <selection pane="topRight" activeCell="I3" sqref="I3:I91"/>
      <selection pane="bottomLeft" activeCell="I3" sqref="I3:I91"/>
      <selection pane="bottomRight" activeCell="I3" sqref="I3:I91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9.140625" style="1"/>
    <col min="7" max="7" width="30.855468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</row>
    <row r="2" spans="1:10" x14ac:dyDescent="0.25">
      <c r="A2" s="3" t="s">
        <v>333</v>
      </c>
      <c r="B2" s="12" t="s">
        <v>135</v>
      </c>
      <c r="C2" s="12" t="s">
        <v>137</v>
      </c>
      <c r="D2" s="5" t="s">
        <v>336</v>
      </c>
      <c r="E2" s="12" t="s">
        <v>136</v>
      </c>
      <c r="F2" s="1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5" t="s">
        <v>6</v>
      </c>
      <c r="F3" s="5" t="str">
        <f>IF(C3=E3,"Y","N")</f>
        <v>Y</v>
      </c>
      <c r="H3" s="5">
        <v>1</v>
      </c>
      <c r="I3" s="5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5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5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5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5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5" t="s">
        <v>16</v>
      </c>
      <c r="F8" s="5" t="str">
        <f t="shared" si="0"/>
        <v>N</v>
      </c>
      <c r="H8" s="5">
        <v>6</v>
      </c>
      <c r="I8" s="5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5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138</v>
      </c>
      <c r="C10" s="5" t="s">
        <v>138</v>
      </c>
      <c r="D10" s="5" t="str">
        <f>IF(B10=C10,"Y","N")</f>
        <v>Y</v>
      </c>
      <c r="E10" s="6" t="s">
        <v>139</v>
      </c>
      <c r="F10" s="5" t="str">
        <f t="shared" si="0"/>
        <v>N</v>
      </c>
      <c r="G10" s="1" t="s">
        <v>352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17</v>
      </c>
      <c r="C11" s="5" t="s">
        <v>17</v>
      </c>
      <c r="D11" s="5" t="str">
        <f>IF(B11=C11,"Y","N")</f>
        <v>Y</v>
      </c>
      <c r="E11" s="5" t="s">
        <v>31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19</v>
      </c>
      <c r="C12" s="5" t="s">
        <v>19</v>
      </c>
      <c r="D12" s="5" t="str">
        <f>IF(B12=C12,"Y","N")</f>
        <v>Y</v>
      </c>
      <c r="E12" s="5" t="s">
        <v>33</v>
      </c>
      <c r="F12" s="5" t="str">
        <f t="shared" si="0"/>
        <v>N</v>
      </c>
      <c r="H12" s="5">
        <v>10</v>
      </c>
      <c r="I12" s="5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21</v>
      </c>
      <c r="C13" s="5" t="s">
        <v>21</v>
      </c>
      <c r="D13" s="5" t="str">
        <f>IF(B13=C13,"Y","N")</f>
        <v>Y</v>
      </c>
      <c r="E13" s="5" t="s">
        <v>35</v>
      </c>
      <c r="F13" s="5" t="str">
        <f t="shared" si="0"/>
        <v>N</v>
      </c>
      <c r="H13" s="5">
        <v>11</v>
      </c>
      <c r="I13" s="5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23</v>
      </c>
      <c r="C14" s="5" t="s">
        <v>23</v>
      </c>
      <c r="D14" s="5" t="str">
        <f>IF(B14=C14,"Y","N")</f>
        <v>Y</v>
      </c>
      <c r="E14" s="5" t="s">
        <v>37</v>
      </c>
      <c r="F14" s="5" t="str">
        <f t="shared" si="0"/>
        <v>N</v>
      </c>
      <c r="H14" s="5">
        <v>12</v>
      </c>
      <c r="I14" s="5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24</v>
      </c>
      <c r="C15" s="5" t="s">
        <v>24</v>
      </c>
      <c r="D15" s="5" t="str">
        <f>IF(B15=C15,"Y","N")</f>
        <v>Y</v>
      </c>
      <c r="E15" s="5" t="s">
        <v>39</v>
      </c>
      <c r="F15" s="5" t="str">
        <f t="shared" si="0"/>
        <v>N</v>
      </c>
      <c r="H15" s="5">
        <v>13</v>
      </c>
      <c r="I15" s="5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26</v>
      </c>
      <c r="C16" s="5" t="s">
        <v>26</v>
      </c>
      <c r="D16" s="5" t="str">
        <f>IF(B16=C16,"Y","N")</f>
        <v>Y</v>
      </c>
      <c r="E16" s="5" t="s">
        <v>41</v>
      </c>
      <c r="F16" s="5" t="str">
        <f t="shared" si="0"/>
        <v>N</v>
      </c>
      <c r="H16" s="5">
        <v>14</v>
      </c>
      <c r="I16" s="5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28</v>
      </c>
      <c r="C17" s="5" t="s">
        <v>28</v>
      </c>
      <c r="D17" s="5" t="str">
        <f>IF(B17=C17,"Y","N")</f>
        <v>Y</v>
      </c>
      <c r="E17" s="5" t="s">
        <v>43</v>
      </c>
      <c r="F17" s="5" t="str">
        <f t="shared" si="0"/>
        <v>N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30</v>
      </c>
      <c r="C18" s="5" t="s">
        <v>30</v>
      </c>
      <c r="D18" s="5" t="str">
        <f>IF(B18=C18,"Y","N")</f>
        <v>Y</v>
      </c>
      <c r="E18" s="5" t="s">
        <v>30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32</v>
      </c>
      <c r="C19" s="5" t="s">
        <v>32</v>
      </c>
      <c r="D19" s="5" t="str">
        <f>IF(B19=C19,"Y","N")</f>
        <v>Y</v>
      </c>
      <c r="E19" s="5" t="s">
        <v>32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36</v>
      </c>
      <c r="C20" s="5" t="s">
        <v>36</v>
      </c>
      <c r="D20" s="5" t="str">
        <f>IF(B20=C20,"Y","N")</f>
        <v>Y</v>
      </c>
      <c r="E20" s="5" t="s">
        <v>36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38</v>
      </c>
      <c r="C21" s="5" t="s">
        <v>38</v>
      </c>
      <c r="D21" s="5" t="str">
        <f>IF(B21=C21,"Y","N")</f>
        <v>Y</v>
      </c>
      <c r="E21" s="5" t="s">
        <v>38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42</v>
      </c>
      <c r="C22" s="5" t="s">
        <v>42</v>
      </c>
      <c r="D22" s="5" t="str">
        <f>IF(B22=C22,"Y","N")</f>
        <v>Y</v>
      </c>
      <c r="E22" s="5" t="s">
        <v>42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44</v>
      </c>
      <c r="C23" s="5" t="s">
        <v>44</v>
      </c>
      <c r="D23" s="5" t="str">
        <f>IF(B23=C23,"Y","N")</f>
        <v>Y</v>
      </c>
      <c r="E23" s="5" t="s">
        <v>44</v>
      </c>
      <c r="F23" s="5" t="str">
        <f t="shared" si="0"/>
        <v>Y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140</v>
      </c>
      <c r="C24" s="5" t="s">
        <v>140</v>
      </c>
      <c r="D24" s="5" t="str">
        <f>IF(B24=C24,"Y","N")</f>
        <v>Y</v>
      </c>
      <c r="E24" s="5" t="s">
        <v>141</v>
      </c>
      <c r="F24" s="5" t="str">
        <f t="shared" si="0"/>
        <v>N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45</v>
      </c>
      <c r="C25" s="5" t="s">
        <v>45</v>
      </c>
      <c r="D25" s="5" t="str">
        <f>IF(B25=C25,"Y","N")</f>
        <v>Y</v>
      </c>
      <c r="E25" s="6"/>
      <c r="F25" s="5" t="str">
        <f t="shared" si="0"/>
        <v>N</v>
      </c>
      <c r="G25" s="14" t="s">
        <v>341</v>
      </c>
    </row>
    <row r="26" spans="1:10" x14ac:dyDescent="0.25">
      <c r="A26" s="10"/>
      <c r="B26" s="5" t="s">
        <v>46</v>
      </c>
      <c r="C26" s="5" t="s">
        <v>46</v>
      </c>
      <c r="D26" s="5" t="str">
        <f>IF(B26=C26,"Y","N")</f>
        <v>Y</v>
      </c>
      <c r="E26" s="5" t="s">
        <v>46</v>
      </c>
      <c r="F26" s="5" t="str">
        <f t="shared" si="0"/>
        <v>Y</v>
      </c>
    </row>
    <row r="27" spans="1:10" x14ac:dyDescent="0.25">
      <c r="A27" s="10"/>
      <c r="B27" s="5" t="s">
        <v>47</v>
      </c>
      <c r="C27" s="5" t="s">
        <v>47</v>
      </c>
      <c r="D27" s="5" t="str">
        <f>IF(B27=C27,"Y","N")</f>
        <v>Y</v>
      </c>
      <c r="E27" s="5" t="s">
        <v>56</v>
      </c>
      <c r="F27" s="5" t="str">
        <f t="shared" si="0"/>
        <v>N</v>
      </c>
    </row>
    <row r="28" spans="1:10" x14ac:dyDescent="0.25">
      <c r="A28" s="10"/>
      <c r="B28" s="5" t="s">
        <v>48</v>
      </c>
      <c r="C28" s="5" t="s">
        <v>48</v>
      </c>
      <c r="D28" s="5" t="str">
        <f>IF(B28=C28,"Y","N")</f>
        <v>Y</v>
      </c>
      <c r="E28" s="5" t="s">
        <v>58</v>
      </c>
      <c r="F28" s="5" t="str">
        <f t="shared" si="0"/>
        <v>N</v>
      </c>
    </row>
    <row r="29" spans="1:10" x14ac:dyDescent="0.25">
      <c r="A29" s="10"/>
      <c r="B29" s="5" t="s">
        <v>49</v>
      </c>
      <c r="C29" s="5" t="s">
        <v>49</v>
      </c>
      <c r="D29" s="5" t="str">
        <f>IF(B29=C29,"Y","N")</f>
        <v>Y</v>
      </c>
      <c r="E29" s="5" t="s">
        <v>60</v>
      </c>
      <c r="F29" s="5" t="str">
        <f t="shared" si="0"/>
        <v>N</v>
      </c>
    </row>
    <row r="30" spans="1:10" x14ac:dyDescent="0.25">
      <c r="A30" s="10"/>
      <c r="B30" s="5" t="s">
        <v>50</v>
      </c>
      <c r="C30" s="5" t="s">
        <v>50</v>
      </c>
      <c r="D30" s="5" t="str">
        <f>IF(B30=C30,"Y","N")</f>
        <v>Y</v>
      </c>
      <c r="E30" s="5" t="s">
        <v>62</v>
      </c>
      <c r="F30" s="5" t="str">
        <f t="shared" si="0"/>
        <v>N</v>
      </c>
    </row>
    <row r="31" spans="1:10" x14ac:dyDescent="0.25">
      <c r="A31" s="10"/>
      <c r="B31" s="5" t="s">
        <v>51</v>
      </c>
      <c r="C31" s="5" t="s">
        <v>51</v>
      </c>
      <c r="D31" s="5" t="str">
        <f>IF(B31=C31,"Y","N")</f>
        <v>Y</v>
      </c>
      <c r="E31" s="5" t="s">
        <v>64</v>
      </c>
      <c r="F31" s="5" t="str">
        <f t="shared" si="0"/>
        <v>N</v>
      </c>
    </row>
    <row r="32" spans="1:10" x14ac:dyDescent="0.25">
      <c r="A32" s="10"/>
      <c r="B32" s="5" t="s">
        <v>53</v>
      </c>
      <c r="C32" s="5" t="s">
        <v>53</v>
      </c>
      <c r="D32" s="5" t="str">
        <f>IF(B32=C32,"Y","N")</f>
        <v>Y</v>
      </c>
      <c r="E32" s="5" t="s">
        <v>66</v>
      </c>
      <c r="F32" s="5" t="str">
        <f t="shared" si="0"/>
        <v>N</v>
      </c>
    </row>
    <row r="33" spans="1:6" x14ac:dyDescent="0.25">
      <c r="A33" s="10"/>
      <c r="B33" s="5" t="s">
        <v>54</v>
      </c>
      <c r="C33" s="5" t="s">
        <v>54</v>
      </c>
      <c r="D33" s="5" t="str">
        <f>IF(B33=C33,"Y","N")</f>
        <v>Y</v>
      </c>
      <c r="E33" s="5" t="s">
        <v>68</v>
      </c>
      <c r="F33" s="5" t="str">
        <f t="shared" si="0"/>
        <v>N</v>
      </c>
    </row>
    <row r="34" spans="1:6" x14ac:dyDescent="0.25">
      <c r="A34" s="10"/>
      <c r="B34" s="5" t="s">
        <v>55</v>
      </c>
      <c r="C34" s="5" t="s">
        <v>55</v>
      </c>
      <c r="D34" s="5" t="str">
        <f>IF(B34=C34,"Y","N")</f>
        <v>Y</v>
      </c>
      <c r="E34" s="5" t="s">
        <v>70</v>
      </c>
      <c r="F34" s="5" t="str">
        <f t="shared" si="0"/>
        <v>N</v>
      </c>
    </row>
    <row r="35" spans="1:6" x14ac:dyDescent="0.25">
      <c r="A35" s="10"/>
      <c r="B35" s="5" t="s">
        <v>57</v>
      </c>
      <c r="C35" s="5" t="s">
        <v>57</v>
      </c>
      <c r="D35" s="5" t="str">
        <f>IF(B35=C35,"Y","N")</f>
        <v>Y</v>
      </c>
      <c r="E35" s="5" t="s">
        <v>72</v>
      </c>
      <c r="F35" s="5" t="str">
        <f t="shared" si="0"/>
        <v>N</v>
      </c>
    </row>
    <row r="36" spans="1:6" x14ac:dyDescent="0.25">
      <c r="A36" s="10"/>
      <c r="B36" s="5" t="s">
        <v>59</v>
      </c>
      <c r="C36" s="5" t="s">
        <v>59</v>
      </c>
      <c r="D36" s="5" t="str">
        <f>IF(B36=C36,"Y","N")</f>
        <v>Y</v>
      </c>
      <c r="E36" s="5" t="s">
        <v>74</v>
      </c>
      <c r="F36" s="5" t="str">
        <f t="shared" si="0"/>
        <v>N</v>
      </c>
    </row>
    <row r="37" spans="1:6" x14ac:dyDescent="0.25">
      <c r="A37" s="10"/>
      <c r="B37" s="5" t="s">
        <v>61</v>
      </c>
      <c r="C37" s="5" t="s">
        <v>61</v>
      </c>
      <c r="D37" s="5" t="str">
        <f>IF(B37=C37,"Y","N")</f>
        <v>Y</v>
      </c>
      <c r="E37" s="5" t="s">
        <v>76</v>
      </c>
      <c r="F37" s="5" t="str">
        <f t="shared" si="0"/>
        <v>N</v>
      </c>
    </row>
    <row r="38" spans="1:6" x14ac:dyDescent="0.25">
      <c r="A38" s="10"/>
      <c r="B38" s="5" t="s">
        <v>63</v>
      </c>
      <c r="C38" s="5" t="s">
        <v>63</v>
      </c>
      <c r="D38" s="5" t="str">
        <f>IF(B38=C38,"Y","N")</f>
        <v>Y</v>
      </c>
      <c r="E38" s="5" t="s">
        <v>78</v>
      </c>
      <c r="F38" s="5" t="str">
        <f t="shared" si="0"/>
        <v>N</v>
      </c>
    </row>
    <row r="39" spans="1:6" x14ac:dyDescent="0.25">
      <c r="A39" s="10"/>
      <c r="B39" s="5" t="s">
        <v>65</v>
      </c>
      <c r="C39" s="5" t="s">
        <v>65</v>
      </c>
      <c r="D39" s="5" t="str">
        <f>IF(B39=C39,"Y","N")</f>
        <v>Y</v>
      </c>
      <c r="E39" s="5" t="s">
        <v>80</v>
      </c>
      <c r="F39" s="5" t="str">
        <f t="shared" si="0"/>
        <v>N</v>
      </c>
    </row>
    <row r="40" spans="1:6" x14ac:dyDescent="0.25">
      <c r="A40" s="10"/>
      <c r="B40" s="5" t="s">
        <v>67</v>
      </c>
      <c r="C40" s="5" t="s">
        <v>67</v>
      </c>
      <c r="D40" s="5" t="str">
        <f>IF(B40=C40,"Y","N")</f>
        <v>Y</v>
      </c>
      <c r="E40" s="5" t="s">
        <v>82</v>
      </c>
      <c r="F40" s="5" t="str">
        <f t="shared" si="0"/>
        <v>N</v>
      </c>
    </row>
    <row r="41" spans="1:6" x14ac:dyDescent="0.25">
      <c r="A41" s="10"/>
      <c r="B41" s="5" t="s">
        <v>69</v>
      </c>
      <c r="C41" s="5" t="s">
        <v>69</v>
      </c>
      <c r="D41" s="5" t="str">
        <f>IF(B41=C41,"Y","N")</f>
        <v>Y</v>
      </c>
      <c r="E41" s="5" t="s">
        <v>84</v>
      </c>
      <c r="F41" s="5" t="str">
        <f t="shared" si="0"/>
        <v>N</v>
      </c>
    </row>
    <row r="42" spans="1:6" x14ac:dyDescent="0.25">
      <c r="A42" s="10"/>
      <c r="B42" s="5" t="s">
        <v>71</v>
      </c>
      <c r="C42" s="5" t="s">
        <v>71</v>
      </c>
      <c r="D42" s="5" t="str">
        <f>IF(B42=C42,"Y","N")</f>
        <v>Y</v>
      </c>
      <c r="E42" s="5" t="s">
        <v>71</v>
      </c>
      <c r="F42" s="5" t="str">
        <f t="shared" si="0"/>
        <v>Y</v>
      </c>
    </row>
    <row r="43" spans="1:6" x14ac:dyDescent="0.25">
      <c r="A43" s="10"/>
      <c r="B43" s="5" t="s">
        <v>73</v>
      </c>
      <c r="C43" s="5" t="s">
        <v>73</v>
      </c>
      <c r="D43" s="5" t="str">
        <f>IF(B43=C43,"Y","N")</f>
        <v>Y</v>
      </c>
      <c r="E43" s="5" t="s">
        <v>73</v>
      </c>
      <c r="F43" s="5" t="str">
        <f t="shared" si="0"/>
        <v>Y</v>
      </c>
    </row>
    <row r="44" spans="1:6" x14ac:dyDescent="0.25">
      <c r="A44" s="10"/>
      <c r="B44" s="5" t="s">
        <v>75</v>
      </c>
      <c r="C44" s="5" t="s">
        <v>75</v>
      </c>
      <c r="D44" s="5" t="str">
        <f>IF(B44=C44,"Y","N")</f>
        <v>Y</v>
      </c>
      <c r="E44" s="5" t="s">
        <v>75</v>
      </c>
      <c r="F44" s="5" t="str">
        <f t="shared" si="0"/>
        <v>Y</v>
      </c>
    </row>
    <row r="45" spans="1:6" x14ac:dyDescent="0.25">
      <c r="A45" s="10"/>
      <c r="B45" s="5" t="s">
        <v>77</v>
      </c>
      <c r="C45" s="5" t="s">
        <v>77</v>
      </c>
      <c r="D45" s="5" t="str">
        <f>IF(B45=C45,"Y","N")</f>
        <v>Y</v>
      </c>
      <c r="E45" s="5" t="s">
        <v>77</v>
      </c>
      <c r="F45" s="5" t="str">
        <f t="shared" si="0"/>
        <v>Y</v>
      </c>
    </row>
    <row r="46" spans="1:6" x14ac:dyDescent="0.25">
      <c r="A46" s="10"/>
      <c r="B46" s="5" t="s">
        <v>79</v>
      </c>
      <c r="C46" s="5" t="s">
        <v>79</v>
      </c>
      <c r="D46" s="5" t="str">
        <f>IF(B46=C46,"Y","N")</f>
        <v>Y</v>
      </c>
      <c r="E46" s="5" t="s">
        <v>79</v>
      </c>
      <c r="F46" s="5" t="str">
        <f t="shared" si="0"/>
        <v>Y</v>
      </c>
    </row>
    <row r="47" spans="1:6" x14ac:dyDescent="0.25">
      <c r="A47" s="10"/>
      <c r="B47" s="5" t="s">
        <v>81</v>
      </c>
      <c r="C47" s="5" t="s">
        <v>81</v>
      </c>
      <c r="D47" s="5" t="str">
        <f>IF(B47=C47,"Y","N")</f>
        <v>Y</v>
      </c>
      <c r="E47" s="5" t="s">
        <v>81</v>
      </c>
      <c r="F47" s="5" t="str">
        <f t="shared" si="0"/>
        <v>Y</v>
      </c>
    </row>
    <row r="48" spans="1:6" x14ac:dyDescent="0.25">
      <c r="A48" s="10"/>
      <c r="B48" s="5" t="s">
        <v>83</v>
      </c>
      <c r="C48" s="5" t="s">
        <v>83</v>
      </c>
      <c r="D48" s="5" t="str">
        <f>IF(B48=C48,"Y","N")</f>
        <v>Y</v>
      </c>
      <c r="E48" s="5" t="s">
        <v>83</v>
      </c>
      <c r="F48" s="5" t="str">
        <f t="shared" si="0"/>
        <v>Y</v>
      </c>
    </row>
    <row r="49" spans="1:6" x14ac:dyDescent="0.25">
      <c r="A49" s="10"/>
      <c r="B49" s="5" t="s">
        <v>85</v>
      </c>
      <c r="C49" s="5" t="s">
        <v>85</v>
      </c>
      <c r="D49" s="5" t="str">
        <f>IF(B49=C49,"Y","N")</f>
        <v>Y</v>
      </c>
      <c r="E49" s="5" t="s">
        <v>85</v>
      </c>
      <c r="F49" s="5" t="str">
        <f t="shared" si="0"/>
        <v>Y</v>
      </c>
    </row>
    <row r="50" spans="1:6" x14ac:dyDescent="0.25">
      <c r="A50" s="10"/>
      <c r="B50" s="5" t="s">
        <v>86</v>
      </c>
      <c r="C50" s="5" t="s">
        <v>86</v>
      </c>
      <c r="D50" s="5" t="str">
        <f>IF(B50=C50,"Y","N")</f>
        <v>Y</v>
      </c>
      <c r="E50" s="5" t="s">
        <v>86</v>
      </c>
      <c r="F50" s="5" t="str">
        <f t="shared" si="0"/>
        <v>Y</v>
      </c>
    </row>
    <row r="51" spans="1:6" x14ac:dyDescent="0.25">
      <c r="A51" s="10"/>
      <c r="B51" s="5" t="s">
        <v>88</v>
      </c>
      <c r="C51" s="5" t="s">
        <v>88</v>
      </c>
      <c r="D51" s="5" t="str">
        <f>IF(B51=C51,"Y","N")</f>
        <v>Y</v>
      </c>
      <c r="E51" s="5" t="s">
        <v>88</v>
      </c>
      <c r="F51" s="5" t="str">
        <f t="shared" si="0"/>
        <v>Y</v>
      </c>
    </row>
    <row r="52" spans="1:6" x14ac:dyDescent="0.25">
      <c r="A52" s="10"/>
      <c r="B52" s="5" t="s">
        <v>89</v>
      </c>
      <c r="C52" s="5" t="s">
        <v>89</v>
      </c>
      <c r="D52" s="5" t="str">
        <f>IF(B52=C52,"Y","N")</f>
        <v>Y</v>
      </c>
      <c r="E52" s="5" t="s">
        <v>89</v>
      </c>
      <c r="F52" s="5" t="str">
        <f t="shared" si="0"/>
        <v>Y</v>
      </c>
    </row>
    <row r="53" spans="1:6" x14ac:dyDescent="0.25">
      <c r="A53" s="10"/>
      <c r="B53" s="5" t="s">
        <v>90</v>
      </c>
      <c r="C53" s="5" t="s">
        <v>90</v>
      </c>
      <c r="D53" s="5" t="str">
        <f>IF(B53=C53,"Y","N")</f>
        <v>Y</v>
      </c>
      <c r="E53" s="5" t="s">
        <v>90</v>
      </c>
      <c r="F53" s="5" t="str">
        <f t="shared" si="0"/>
        <v>Y</v>
      </c>
    </row>
    <row r="54" spans="1:6" x14ac:dyDescent="0.25">
      <c r="A54" s="10"/>
      <c r="B54" s="5" t="s">
        <v>126</v>
      </c>
      <c r="C54" s="5" t="s">
        <v>126</v>
      </c>
      <c r="D54" s="5" t="str">
        <f>IF(B54=C54,"Y","N")</f>
        <v>Y</v>
      </c>
      <c r="E54" s="5" t="s">
        <v>126</v>
      </c>
      <c r="F54" s="5" t="str">
        <f t="shared" si="0"/>
        <v>Y</v>
      </c>
    </row>
    <row r="55" spans="1:6" x14ac:dyDescent="0.25">
      <c r="A55" s="10"/>
      <c r="B55" s="5" t="s">
        <v>91</v>
      </c>
      <c r="C55" s="5" t="s">
        <v>91</v>
      </c>
      <c r="D55" s="5" t="str">
        <f>IF(B55=C55,"Y","N")</f>
        <v>Y</v>
      </c>
      <c r="E55" s="5" t="s">
        <v>91</v>
      </c>
      <c r="F55" s="5" t="str">
        <f t="shared" si="0"/>
        <v>Y</v>
      </c>
    </row>
    <row r="56" spans="1:6" x14ac:dyDescent="0.25">
      <c r="A56" s="10"/>
      <c r="B56" s="5" t="s">
        <v>92</v>
      </c>
      <c r="C56" s="5" t="s">
        <v>92</v>
      </c>
      <c r="D56" s="5" t="str">
        <f>IF(B56=C56,"Y","N")</f>
        <v>Y</v>
      </c>
      <c r="E56" s="5" t="s">
        <v>92</v>
      </c>
      <c r="F56" s="5" t="str">
        <f t="shared" si="0"/>
        <v>Y</v>
      </c>
    </row>
    <row r="57" spans="1:6" x14ac:dyDescent="0.25">
      <c r="A57" s="10"/>
      <c r="B57" s="5" t="s">
        <v>93</v>
      </c>
      <c r="C57" s="5" t="s">
        <v>93</v>
      </c>
      <c r="D57" s="5" t="str">
        <f>IF(B57=C57,"Y","N")</f>
        <v>Y</v>
      </c>
      <c r="E57" s="5" t="s">
        <v>93</v>
      </c>
      <c r="F57" s="5" t="str">
        <f t="shared" si="0"/>
        <v>Y</v>
      </c>
    </row>
    <row r="58" spans="1:6" x14ac:dyDescent="0.25">
      <c r="A58" s="10"/>
      <c r="B58" s="5" t="s">
        <v>95</v>
      </c>
      <c r="C58" s="5" t="s">
        <v>95</v>
      </c>
      <c r="D58" s="5" t="str">
        <f>IF(B58=C58,"Y","N")</f>
        <v>Y</v>
      </c>
      <c r="E58" s="5" t="s">
        <v>95</v>
      </c>
      <c r="F58" s="5" t="str">
        <f t="shared" si="0"/>
        <v>Y</v>
      </c>
    </row>
    <row r="59" spans="1:6" x14ac:dyDescent="0.25">
      <c r="A59" s="10"/>
      <c r="B59" s="5" t="s">
        <v>96</v>
      </c>
      <c r="C59" s="5" t="s">
        <v>96</v>
      </c>
      <c r="D59" s="5" t="str">
        <f>IF(B59=C59,"Y","N")</f>
        <v>Y</v>
      </c>
      <c r="E59" s="5" t="s">
        <v>96</v>
      </c>
      <c r="F59" s="5" t="str">
        <f t="shared" si="0"/>
        <v>Y</v>
      </c>
    </row>
    <row r="60" spans="1:6" x14ac:dyDescent="0.25">
      <c r="A60" s="10"/>
      <c r="B60" s="5" t="s">
        <v>97</v>
      </c>
      <c r="C60" s="5" t="s">
        <v>97</v>
      </c>
      <c r="D60" s="5" t="str">
        <f>IF(B60=C60,"Y","N")</f>
        <v>Y</v>
      </c>
      <c r="E60" s="5" t="s">
        <v>97</v>
      </c>
      <c r="F60" s="5" t="str">
        <f t="shared" si="0"/>
        <v>Y</v>
      </c>
    </row>
    <row r="61" spans="1:6" x14ac:dyDescent="0.25">
      <c r="A61" s="10"/>
      <c r="B61" s="5" t="s">
        <v>98</v>
      </c>
      <c r="C61" s="5" t="s">
        <v>98</v>
      </c>
      <c r="D61" s="5" t="str">
        <f>IF(B61=C61,"Y","N")</f>
        <v>Y</v>
      </c>
      <c r="E61" s="5" t="s">
        <v>98</v>
      </c>
      <c r="F61" s="5" t="str">
        <f t="shared" si="0"/>
        <v>Y</v>
      </c>
    </row>
    <row r="62" spans="1:6" x14ac:dyDescent="0.25">
      <c r="A62" s="10"/>
      <c r="B62" s="5" t="s">
        <v>100</v>
      </c>
      <c r="C62" s="5" t="s">
        <v>100</v>
      </c>
      <c r="D62" s="5" t="str">
        <f>IF(B62=C62,"Y","N")</f>
        <v>Y</v>
      </c>
      <c r="E62" s="5" t="s">
        <v>100</v>
      </c>
      <c r="F62" s="5" t="str">
        <f t="shared" si="0"/>
        <v>Y</v>
      </c>
    </row>
    <row r="63" spans="1:6" x14ac:dyDescent="0.25">
      <c r="A63" s="10"/>
      <c r="B63" s="5" t="s">
        <v>101</v>
      </c>
      <c r="C63" s="5" t="s">
        <v>101</v>
      </c>
      <c r="D63" s="5" t="str">
        <f>IF(B63=C63,"Y","N")</f>
        <v>Y</v>
      </c>
      <c r="E63" s="5" t="s">
        <v>101</v>
      </c>
      <c r="F63" s="5" t="str">
        <f t="shared" si="0"/>
        <v>Y</v>
      </c>
    </row>
    <row r="64" spans="1:6" x14ac:dyDescent="0.25">
      <c r="A64" s="10"/>
      <c r="B64" s="5" t="s">
        <v>102</v>
      </c>
      <c r="C64" s="5" t="s">
        <v>102</v>
      </c>
      <c r="D64" s="5" t="str">
        <f>IF(B64=C64,"Y","N")</f>
        <v>Y</v>
      </c>
      <c r="E64" s="5" t="s">
        <v>102</v>
      </c>
      <c r="F64" s="5" t="str">
        <f t="shared" si="0"/>
        <v>Y</v>
      </c>
    </row>
    <row r="65" spans="1:7" x14ac:dyDescent="0.25">
      <c r="A65" s="10"/>
      <c r="B65" s="5" t="s">
        <v>103</v>
      </c>
      <c r="C65" s="5" t="s">
        <v>103</v>
      </c>
      <c r="D65" s="5" t="str">
        <f>IF(B65=C65,"Y","N")</f>
        <v>Y</v>
      </c>
      <c r="E65" s="5" t="s">
        <v>103</v>
      </c>
      <c r="F65" s="5" t="str">
        <f t="shared" si="0"/>
        <v>Y</v>
      </c>
    </row>
    <row r="66" spans="1:7" x14ac:dyDescent="0.25">
      <c r="A66" s="10"/>
      <c r="B66" s="5" t="s">
        <v>105</v>
      </c>
      <c r="C66" s="5" t="s">
        <v>105</v>
      </c>
      <c r="D66" s="5" t="str">
        <f>IF(B66=C66,"Y","N")</f>
        <v>Y</v>
      </c>
      <c r="E66" s="5" t="s">
        <v>105</v>
      </c>
      <c r="F66" s="5" t="str">
        <f t="shared" si="0"/>
        <v>Y</v>
      </c>
    </row>
    <row r="67" spans="1:7" x14ac:dyDescent="0.25">
      <c r="A67" s="10"/>
      <c r="B67" s="5" t="s">
        <v>106</v>
      </c>
      <c r="C67" s="5" t="s">
        <v>106</v>
      </c>
      <c r="D67" s="5" t="str">
        <f>IF(B67=C67,"Y","N")</f>
        <v>Y</v>
      </c>
      <c r="E67" s="5" t="s">
        <v>106</v>
      </c>
      <c r="F67" s="5" t="str">
        <f t="shared" si="0"/>
        <v>Y</v>
      </c>
    </row>
    <row r="68" spans="1:7" x14ac:dyDescent="0.25">
      <c r="A68" s="10"/>
      <c r="B68" s="5" t="s">
        <v>110</v>
      </c>
      <c r="C68" s="5" t="s">
        <v>110</v>
      </c>
      <c r="D68" s="5" t="str">
        <f>IF(B68=C68,"Y","N")</f>
        <v>Y</v>
      </c>
      <c r="E68" s="5" t="s">
        <v>110</v>
      </c>
      <c r="F68" s="5" t="str">
        <f t="shared" ref="F68:F71" si="1">IF(C68=E68,"Y","N")</f>
        <v>Y</v>
      </c>
    </row>
    <row r="69" spans="1:7" x14ac:dyDescent="0.25">
      <c r="A69" s="10"/>
      <c r="B69" s="5" t="s">
        <v>111</v>
      </c>
      <c r="C69" s="5" t="s">
        <v>111</v>
      </c>
      <c r="D69" s="5" t="str">
        <f>IF(B69=C69,"Y","N")</f>
        <v>Y</v>
      </c>
      <c r="E69" s="5" t="s">
        <v>121</v>
      </c>
      <c r="F69" s="5" t="str">
        <f t="shared" si="1"/>
        <v>N</v>
      </c>
    </row>
    <row r="70" spans="1:7" x14ac:dyDescent="0.25">
      <c r="A70" s="10"/>
      <c r="B70" s="5" t="s">
        <v>112</v>
      </c>
      <c r="C70" s="5" t="s">
        <v>112</v>
      </c>
      <c r="D70" s="5" t="str">
        <f>IF(B70=C70,"Y","N")</f>
        <v>Y</v>
      </c>
      <c r="E70" s="5" t="s">
        <v>122</v>
      </c>
      <c r="F70" s="5" t="str">
        <f t="shared" si="1"/>
        <v>N</v>
      </c>
    </row>
    <row r="71" spans="1:7" x14ac:dyDescent="0.25">
      <c r="A71" s="10"/>
      <c r="B71" s="5" t="s">
        <v>142</v>
      </c>
      <c r="C71" s="5" t="s">
        <v>142</v>
      </c>
      <c r="D71" s="5" t="str">
        <f>IF(B71=C71,"Y","N")</f>
        <v>Y</v>
      </c>
      <c r="E71" s="6" t="s">
        <v>143</v>
      </c>
      <c r="F71" s="5" t="str">
        <f t="shared" si="1"/>
        <v>N</v>
      </c>
      <c r="G71" s="1" t="s">
        <v>352</v>
      </c>
    </row>
  </sheetData>
  <autoFilter ref="A2:J71" xr:uid="{00000000-0001-0000-0300-000000000000}"/>
  <conditionalFormatting sqref="E1 D47 D48:E51 D52:D54 D2:E24 D25 I50 D26:E46 D55:E1048576">
    <cfRule type="cellIs" dxfId="65" priority="3" operator="equal">
      <formula>"N"</formula>
    </cfRule>
  </conditionalFormatting>
  <conditionalFormatting sqref="G25">
    <cfRule type="cellIs" dxfId="64" priority="2" operator="equal">
      <formula>"N"</formula>
    </cfRule>
  </conditionalFormatting>
  <conditionalFormatting sqref="F3:F71">
    <cfRule type="cellIs" dxfId="63" priority="1" operator="equal">
      <formula>"N"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1"/>
  <sheetViews>
    <sheetView workbookViewId="0">
      <pane xSplit="1" ySplit="1" topLeftCell="B2" activePane="bottomRight" state="frozen"/>
      <selection activeCell="I3" sqref="I3:I91"/>
      <selection pane="topRight" activeCell="I3" sqref="I3:I91"/>
      <selection pane="bottomLeft" activeCell="I3" sqref="I3:I91"/>
      <selection pane="bottomRight" activeCell="I3" sqref="I3:I91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9.140625" style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7" t="s">
        <v>1</v>
      </c>
    </row>
    <row r="2" spans="1:10" x14ac:dyDescent="0.25">
      <c r="A2" s="3" t="s">
        <v>333</v>
      </c>
      <c r="B2" s="12" t="s">
        <v>144</v>
      </c>
      <c r="C2" s="12" t="s">
        <v>146</v>
      </c>
      <c r="D2" s="5" t="s">
        <v>336</v>
      </c>
      <c r="E2" s="12" t="s">
        <v>145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19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5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5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19" t="s">
        <v>30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19" t="s">
        <v>32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36</v>
      </c>
      <c r="C19" s="5" t="s">
        <v>36</v>
      </c>
      <c r="D19" s="5" t="str">
        <f>IF(B19=C19,"Y","N")</f>
        <v>Y</v>
      </c>
      <c r="E19" s="19" t="s">
        <v>36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38</v>
      </c>
      <c r="C20" s="5" t="s">
        <v>38</v>
      </c>
      <c r="D20" s="5" t="str">
        <f>IF(B20=C20,"Y","N")</f>
        <v>Y</v>
      </c>
      <c r="E20" s="19" t="s">
        <v>38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42</v>
      </c>
      <c r="C21" s="5" t="s">
        <v>42</v>
      </c>
      <c r="D21" s="5" t="str">
        <f>IF(B21=C21,"Y","N")</f>
        <v>Y</v>
      </c>
      <c r="E21" s="19" t="s">
        <v>42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44</v>
      </c>
      <c r="C22" s="5" t="s">
        <v>44</v>
      </c>
      <c r="D22" s="5" t="str">
        <f>IF(B22=C22,"Y","N")</f>
        <v>Y</v>
      </c>
      <c r="E22" s="19" t="s">
        <v>44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45</v>
      </c>
      <c r="C23" s="5" t="s">
        <v>45</v>
      </c>
      <c r="D23" s="5" t="str">
        <f>IF(B23=C23,"Y","N")</f>
        <v>Y</v>
      </c>
      <c r="E23" s="6"/>
      <c r="F23" s="5" t="str">
        <f t="shared" si="0"/>
        <v>N</v>
      </c>
      <c r="G23" s="14" t="s">
        <v>341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147</v>
      </c>
      <c r="C24" s="5" t="s">
        <v>147</v>
      </c>
      <c r="D24" s="5" t="str">
        <f>IF(B24=C24,"Y","N")</f>
        <v>Y</v>
      </c>
      <c r="E24" s="19" t="s">
        <v>148</v>
      </c>
      <c r="F24" s="5" t="str">
        <f t="shared" si="0"/>
        <v>N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46</v>
      </c>
      <c r="C25" s="5" t="s">
        <v>46</v>
      </c>
      <c r="D25" s="5" t="str">
        <f>IF(B25=C25,"Y","N")</f>
        <v>Y</v>
      </c>
      <c r="E25" s="5" t="s">
        <v>46</v>
      </c>
      <c r="F25" s="5" t="str">
        <f t="shared" si="0"/>
        <v>Y</v>
      </c>
    </row>
    <row r="26" spans="1:10" x14ac:dyDescent="0.25">
      <c r="A26" s="10"/>
      <c r="B26" s="5" t="s">
        <v>47</v>
      </c>
      <c r="C26" s="5" t="s">
        <v>47</v>
      </c>
      <c r="D26" s="5" t="str">
        <f>IF(B26=C26,"Y","N")</f>
        <v>Y</v>
      </c>
      <c r="E26" s="19" t="s">
        <v>56</v>
      </c>
      <c r="F26" s="5" t="str">
        <f t="shared" si="0"/>
        <v>N</v>
      </c>
    </row>
    <row r="27" spans="1:10" x14ac:dyDescent="0.25">
      <c r="A27" s="10"/>
      <c r="B27" s="5" t="s">
        <v>48</v>
      </c>
      <c r="C27" s="5" t="s">
        <v>48</v>
      </c>
      <c r="D27" s="5" t="str">
        <f>IF(B27=C27,"Y","N")</f>
        <v>Y</v>
      </c>
      <c r="E27" s="19" t="s">
        <v>58</v>
      </c>
      <c r="F27" s="5" t="str">
        <f t="shared" si="0"/>
        <v>N</v>
      </c>
      <c r="I27"/>
    </row>
    <row r="28" spans="1:10" x14ac:dyDescent="0.25">
      <c r="A28" s="10"/>
      <c r="B28" s="5" t="s">
        <v>49</v>
      </c>
      <c r="C28" s="5" t="s">
        <v>49</v>
      </c>
      <c r="D28" s="5" t="str">
        <f>IF(B28=C28,"Y","N")</f>
        <v>Y</v>
      </c>
      <c r="E28" s="19" t="s">
        <v>60</v>
      </c>
      <c r="F28" s="5" t="str">
        <f t="shared" si="0"/>
        <v>N</v>
      </c>
    </row>
    <row r="29" spans="1:10" x14ac:dyDescent="0.25">
      <c r="A29" s="10"/>
      <c r="B29" s="5" t="s">
        <v>50</v>
      </c>
      <c r="C29" s="5" t="s">
        <v>50</v>
      </c>
      <c r="D29" s="5" t="str">
        <f>IF(B29=C29,"Y","N")</f>
        <v>Y</v>
      </c>
      <c r="E29" s="19" t="s">
        <v>62</v>
      </c>
      <c r="F29" s="5" t="str">
        <f t="shared" si="0"/>
        <v>N</v>
      </c>
    </row>
    <row r="30" spans="1:10" x14ac:dyDescent="0.25">
      <c r="A30" s="10"/>
      <c r="B30" s="5" t="s">
        <v>51</v>
      </c>
      <c r="C30" s="5" t="s">
        <v>51</v>
      </c>
      <c r="D30" s="5" t="str">
        <f>IF(B30=C30,"Y","N")</f>
        <v>Y</v>
      </c>
      <c r="E30" s="19" t="s">
        <v>64</v>
      </c>
      <c r="F30" s="5" t="str">
        <f t="shared" si="0"/>
        <v>N</v>
      </c>
      <c r="I30"/>
    </row>
    <row r="31" spans="1:10" x14ac:dyDescent="0.25">
      <c r="A31" s="10"/>
      <c r="B31" s="5" t="s">
        <v>53</v>
      </c>
      <c r="C31" s="5" t="s">
        <v>53</v>
      </c>
      <c r="D31" s="5" t="str">
        <f>IF(B31=C31,"Y","N")</f>
        <v>Y</v>
      </c>
      <c r="E31" s="19" t="s">
        <v>66</v>
      </c>
      <c r="F31" s="5" t="str">
        <f t="shared" si="0"/>
        <v>N</v>
      </c>
      <c r="I31"/>
    </row>
    <row r="32" spans="1:10" x14ac:dyDescent="0.25">
      <c r="A32" s="10"/>
      <c r="B32" s="5" t="s">
        <v>54</v>
      </c>
      <c r="C32" s="5" t="s">
        <v>54</v>
      </c>
      <c r="D32" s="5" t="str">
        <f>IF(B32=C32,"Y","N")</f>
        <v>Y</v>
      </c>
      <c r="E32" s="19" t="s">
        <v>68</v>
      </c>
      <c r="F32" s="5" t="str">
        <f t="shared" si="0"/>
        <v>N</v>
      </c>
    </row>
    <row r="33" spans="1:9" x14ac:dyDescent="0.25">
      <c r="A33" s="10"/>
      <c r="B33" s="5" t="s">
        <v>55</v>
      </c>
      <c r="C33" s="5" t="s">
        <v>55</v>
      </c>
      <c r="D33" s="5" t="str">
        <f>IF(B33=C33,"Y","N")</f>
        <v>Y</v>
      </c>
      <c r="E33" s="19" t="s">
        <v>70</v>
      </c>
      <c r="F33" s="5" t="str">
        <f t="shared" si="0"/>
        <v>N</v>
      </c>
    </row>
    <row r="34" spans="1:9" x14ac:dyDescent="0.25">
      <c r="A34" s="10"/>
      <c r="B34" s="5" t="s">
        <v>57</v>
      </c>
      <c r="C34" s="5" t="s">
        <v>57</v>
      </c>
      <c r="D34" s="5" t="str">
        <f>IF(B34=C34,"Y","N")</f>
        <v>Y</v>
      </c>
      <c r="E34" s="19" t="s">
        <v>72</v>
      </c>
      <c r="F34" s="5" t="str">
        <f t="shared" si="0"/>
        <v>N</v>
      </c>
    </row>
    <row r="35" spans="1:9" x14ac:dyDescent="0.25">
      <c r="A35" s="10"/>
      <c r="B35" s="5" t="s">
        <v>59</v>
      </c>
      <c r="C35" s="5" t="s">
        <v>59</v>
      </c>
      <c r="D35" s="5" t="str">
        <f>IF(B35=C35,"Y","N")</f>
        <v>Y</v>
      </c>
      <c r="E35" s="19" t="s">
        <v>74</v>
      </c>
      <c r="F35" s="5" t="str">
        <f t="shared" si="0"/>
        <v>N</v>
      </c>
    </row>
    <row r="36" spans="1:9" x14ac:dyDescent="0.25">
      <c r="A36" s="10"/>
      <c r="B36" s="5" t="s">
        <v>61</v>
      </c>
      <c r="C36" s="5" t="s">
        <v>61</v>
      </c>
      <c r="D36" s="5" t="str">
        <f>IF(B36=C36,"Y","N")</f>
        <v>Y</v>
      </c>
      <c r="E36" s="19" t="s">
        <v>76</v>
      </c>
      <c r="F36" s="5" t="str">
        <f t="shared" si="0"/>
        <v>N</v>
      </c>
    </row>
    <row r="37" spans="1:9" x14ac:dyDescent="0.25">
      <c r="A37" s="10"/>
      <c r="B37" s="5" t="s">
        <v>63</v>
      </c>
      <c r="C37" s="5" t="s">
        <v>63</v>
      </c>
      <c r="D37" s="5" t="str">
        <f>IF(B37=C37,"Y","N")</f>
        <v>Y</v>
      </c>
      <c r="E37" s="19" t="s">
        <v>78</v>
      </c>
      <c r="F37" s="5" t="str">
        <f t="shared" si="0"/>
        <v>N</v>
      </c>
    </row>
    <row r="38" spans="1:9" x14ac:dyDescent="0.25">
      <c r="A38" s="10"/>
      <c r="B38" s="5" t="s">
        <v>65</v>
      </c>
      <c r="C38" s="5" t="s">
        <v>65</v>
      </c>
      <c r="D38" s="5" t="str">
        <f>IF(B38=C38,"Y","N")</f>
        <v>Y</v>
      </c>
      <c r="E38" s="19" t="s">
        <v>80</v>
      </c>
      <c r="F38" s="5" t="str">
        <f t="shared" si="0"/>
        <v>N</v>
      </c>
    </row>
    <row r="39" spans="1:9" x14ac:dyDescent="0.25">
      <c r="A39" s="10"/>
      <c r="B39" s="5" t="s">
        <v>67</v>
      </c>
      <c r="C39" s="5" t="s">
        <v>67</v>
      </c>
      <c r="D39" s="5" t="str">
        <f>IF(B39=C39,"Y","N")</f>
        <v>Y</v>
      </c>
      <c r="E39" s="19" t="s">
        <v>82</v>
      </c>
      <c r="F39" s="5" t="str">
        <f t="shared" si="0"/>
        <v>N</v>
      </c>
    </row>
    <row r="40" spans="1:9" x14ac:dyDescent="0.25">
      <c r="A40" s="10"/>
      <c r="B40" s="5" t="s">
        <v>69</v>
      </c>
      <c r="C40" s="5" t="s">
        <v>69</v>
      </c>
      <c r="D40" s="5" t="str">
        <f>IF(B40=C40,"Y","N")</f>
        <v>Y</v>
      </c>
      <c r="E40" s="19" t="s">
        <v>84</v>
      </c>
      <c r="F40" s="5" t="str">
        <f t="shared" si="0"/>
        <v>N</v>
      </c>
    </row>
    <row r="41" spans="1:9" x14ac:dyDescent="0.25">
      <c r="A41" s="10"/>
      <c r="B41" s="5" t="s">
        <v>71</v>
      </c>
      <c r="C41" s="5" t="s">
        <v>71</v>
      </c>
      <c r="D41" s="5" t="str">
        <f>IF(B41=C41,"Y","N")</f>
        <v>Y</v>
      </c>
      <c r="E41" s="19" t="s">
        <v>71</v>
      </c>
      <c r="F41" s="5" t="str">
        <f t="shared" si="0"/>
        <v>Y</v>
      </c>
    </row>
    <row r="42" spans="1:9" x14ac:dyDescent="0.25">
      <c r="A42" s="10"/>
      <c r="B42" s="5" t="s">
        <v>73</v>
      </c>
      <c r="C42" s="5" t="s">
        <v>73</v>
      </c>
      <c r="D42" s="5" t="str">
        <f>IF(B42=C42,"Y","N")</f>
        <v>Y</v>
      </c>
      <c r="E42" s="19" t="s">
        <v>73</v>
      </c>
      <c r="F42" s="5" t="str">
        <f t="shared" si="0"/>
        <v>Y</v>
      </c>
    </row>
    <row r="43" spans="1:9" x14ac:dyDescent="0.25">
      <c r="A43" s="10"/>
      <c r="B43" s="5" t="s">
        <v>75</v>
      </c>
      <c r="C43" s="5" t="s">
        <v>75</v>
      </c>
      <c r="D43" s="5" t="str">
        <f>IF(B43=C43,"Y","N")</f>
        <v>Y</v>
      </c>
      <c r="E43" s="19" t="s">
        <v>75</v>
      </c>
      <c r="F43" s="5" t="str">
        <f t="shared" si="0"/>
        <v>Y</v>
      </c>
    </row>
    <row r="44" spans="1:9" x14ac:dyDescent="0.25">
      <c r="A44" s="10"/>
      <c r="B44" s="5" t="s">
        <v>77</v>
      </c>
      <c r="C44" s="5" t="s">
        <v>77</v>
      </c>
      <c r="D44" s="5" t="str">
        <f>IF(B44=C44,"Y","N")</f>
        <v>Y</v>
      </c>
      <c r="E44" s="19" t="s">
        <v>77</v>
      </c>
      <c r="F44" s="5" t="str">
        <f t="shared" si="0"/>
        <v>Y</v>
      </c>
    </row>
    <row r="45" spans="1:9" x14ac:dyDescent="0.25">
      <c r="A45" s="10"/>
      <c r="B45" s="5" t="s">
        <v>79</v>
      </c>
      <c r="C45" s="5" t="s">
        <v>79</v>
      </c>
      <c r="D45" s="5" t="str">
        <f>IF(B45=C45,"Y","N")</f>
        <v>Y</v>
      </c>
      <c r="E45" s="19" t="s">
        <v>79</v>
      </c>
      <c r="F45" s="5" t="str">
        <f t="shared" si="0"/>
        <v>Y</v>
      </c>
    </row>
    <row r="46" spans="1:9" x14ac:dyDescent="0.25">
      <c r="A46" s="10"/>
      <c r="B46" s="5" t="s">
        <v>81</v>
      </c>
      <c r="C46" s="5" t="s">
        <v>81</v>
      </c>
      <c r="D46" s="5" t="str">
        <f>IF(B46=C46,"Y","N")</f>
        <v>Y</v>
      </c>
      <c r="E46" s="19" t="s">
        <v>81</v>
      </c>
      <c r="F46" s="5" t="str">
        <f t="shared" si="0"/>
        <v>Y</v>
      </c>
    </row>
    <row r="47" spans="1:9" x14ac:dyDescent="0.25">
      <c r="A47" s="10"/>
      <c r="B47" s="5" t="s">
        <v>83</v>
      </c>
      <c r="C47" s="5" t="s">
        <v>83</v>
      </c>
      <c r="D47" s="5" t="str">
        <f>IF(B47=C47,"Y","N")</f>
        <v>Y</v>
      </c>
      <c r="E47" s="19" t="s">
        <v>83</v>
      </c>
      <c r="F47" s="5" t="str">
        <f t="shared" si="0"/>
        <v>Y</v>
      </c>
      <c r="I47"/>
    </row>
    <row r="48" spans="1:9" x14ac:dyDescent="0.25">
      <c r="A48" s="10"/>
      <c r="B48" s="5" t="s">
        <v>85</v>
      </c>
      <c r="C48" s="5" t="s">
        <v>85</v>
      </c>
      <c r="D48" s="5" t="str">
        <f>IF(B48=C48,"Y","N")</f>
        <v>Y</v>
      </c>
      <c r="E48" s="19" t="s">
        <v>85</v>
      </c>
      <c r="F48" s="5" t="str">
        <f t="shared" si="0"/>
        <v>Y</v>
      </c>
    </row>
    <row r="49" spans="1:9" x14ac:dyDescent="0.25">
      <c r="A49" s="10"/>
      <c r="B49" s="5" t="s">
        <v>86</v>
      </c>
      <c r="C49" s="5" t="s">
        <v>86</v>
      </c>
      <c r="D49" s="5" t="str">
        <f>IF(B49=C49,"Y","N")</f>
        <v>Y</v>
      </c>
      <c r="E49" s="19" t="s">
        <v>86</v>
      </c>
      <c r="F49" s="5" t="str">
        <f t="shared" si="0"/>
        <v>Y</v>
      </c>
    </row>
    <row r="50" spans="1:9" x14ac:dyDescent="0.25">
      <c r="A50" s="10"/>
      <c r="B50" s="5" t="s">
        <v>88</v>
      </c>
      <c r="C50" s="5" t="s">
        <v>88</v>
      </c>
      <c r="D50" s="5" t="str">
        <f>IF(B50=C50,"Y","N")</f>
        <v>Y</v>
      </c>
      <c r="E50" s="19" t="s">
        <v>88</v>
      </c>
      <c r="F50" s="5" t="str">
        <f t="shared" si="0"/>
        <v>Y</v>
      </c>
    </row>
    <row r="51" spans="1:9" x14ac:dyDescent="0.25">
      <c r="A51" s="10"/>
      <c r="B51" s="5" t="s">
        <v>89</v>
      </c>
      <c r="C51" s="5" t="s">
        <v>89</v>
      </c>
      <c r="D51" s="5" t="str">
        <f>IF(B51=C51,"Y","N")</f>
        <v>Y</v>
      </c>
      <c r="E51" s="19" t="s">
        <v>89</v>
      </c>
      <c r="F51" s="5" t="str">
        <f t="shared" si="0"/>
        <v>Y</v>
      </c>
    </row>
    <row r="52" spans="1:9" x14ac:dyDescent="0.25">
      <c r="A52" s="10"/>
      <c r="B52" s="5" t="s">
        <v>90</v>
      </c>
      <c r="C52" s="5" t="s">
        <v>90</v>
      </c>
      <c r="D52" s="5" t="str">
        <f>IF(B52=C52,"Y","N")</f>
        <v>Y</v>
      </c>
      <c r="E52" s="19" t="s">
        <v>90</v>
      </c>
      <c r="F52" s="5" t="str">
        <f t="shared" si="0"/>
        <v>Y</v>
      </c>
    </row>
    <row r="53" spans="1:9" x14ac:dyDescent="0.25">
      <c r="A53" s="10"/>
      <c r="B53" s="5" t="s">
        <v>126</v>
      </c>
      <c r="C53" s="5" t="s">
        <v>126</v>
      </c>
      <c r="D53" s="5" t="str">
        <f>IF(B53=C53,"Y","N")</f>
        <v>Y</v>
      </c>
      <c r="E53" s="19" t="s">
        <v>126</v>
      </c>
      <c r="F53" s="5" t="str">
        <f t="shared" si="0"/>
        <v>Y</v>
      </c>
      <c r="I53"/>
    </row>
    <row r="54" spans="1:9" x14ac:dyDescent="0.25">
      <c r="A54" s="10"/>
      <c r="B54" s="5" t="s">
        <v>91</v>
      </c>
      <c r="C54" s="5" t="s">
        <v>91</v>
      </c>
      <c r="D54" s="5" t="str">
        <f>IF(B54=C54,"Y","N")</f>
        <v>Y</v>
      </c>
      <c r="E54" s="19" t="s">
        <v>91</v>
      </c>
      <c r="F54" s="5" t="str">
        <f t="shared" si="0"/>
        <v>Y</v>
      </c>
    </row>
    <row r="55" spans="1:9" x14ac:dyDescent="0.25">
      <c r="A55" s="10"/>
      <c r="B55" s="5" t="s">
        <v>92</v>
      </c>
      <c r="C55" s="5" t="s">
        <v>92</v>
      </c>
      <c r="D55" s="5" t="str">
        <f>IF(B55=C55,"Y","N")</f>
        <v>Y</v>
      </c>
      <c r="E55" s="19" t="s">
        <v>92</v>
      </c>
      <c r="F55" s="5" t="str">
        <f t="shared" si="0"/>
        <v>Y</v>
      </c>
    </row>
    <row r="56" spans="1:9" x14ac:dyDescent="0.25">
      <c r="A56" s="10"/>
      <c r="B56" s="5" t="s">
        <v>93</v>
      </c>
      <c r="C56" s="5" t="s">
        <v>93</v>
      </c>
      <c r="D56" s="5" t="str">
        <f>IF(B56=C56,"Y","N")</f>
        <v>Y</v>
      </c>
      <c r="E56" s="19" t="s">
        <v>93</v>
      </c>
      <c r="F56" s="5" t="str">
        <f t="shared" si="0"/>
        <v>Y</v>
      </c>
    </row>
    <row r="57" spans="1:9" x14ac:dyDescent="0.25">
      <c r="A57" s="10"/>
      <c r="B57" s="5" t="s">
        <v>95</v>
      </c>
      <c r="C57" s="5" t="s">
        <v>95</v>
      </c>
      <c r="D57" s="5" t="str">
        <f>IF(B57=C57,"Y","N")</f>
        <v>Y</v>
      </c>
      <c r="E57" s="19" t="s">
        <v>95</v>
      </c>
      <c r="F57" s="5" t="str">
        <f t="shared" si="0"/>
        <v>Y</v>
      </c>
      <c r="I57"/>
    </row>
    <row r="58" spans="1:9" x14ac:dyDescent="0.25">
      <c r="A58" s="10"/>
      <c r="B58" s="5" t="s">
        <v>96</v>
      </c>
      <c r="C58" s="5" t="s">
        <v>96</v>
      </c>
      <c r="D58" s="5" t="str">
        <f>IF(B58=C58,"Y","N")</f>
        <v>Y</v>
      </c>
      <c r="E58" s="19" t="s">
        <v>96</v>
      </c>
      <c r="F58" s="5" t="str">
        <f t="shared" si="0"/>
        <v>Y</v>
      </c>
    </row>
    <row r="59" spans="1:9" x14ac:dyDescent="0.25">
      <c r="A59" s="10"/>
      <c r="B59" s="5" t="s">
        <v>97</v>
      </c>
      <c r="C59" s="5" t="s">
        <v>97</v>
      </c>
      <c r="D59" s="5" t="str">
        <f>IF(B59=C59,"Y","N")</f>
        <v>Y</v>
      </c>
      <c r="E59" s="19" t="s">
        <v>97</v>
      </c>
      <c r="F59" s="5" t="str">
        <f t="shared" si="0"/>
        <v>Y</v>
      </c>
    </row>
    <row r="60" spans="1:9" x14ac:dyDescent="0.25">
      <c r="A60" s="10"/>
      <c r="B60" s="5" t="s">
        <v>98</v>
      </c>
      <c r="C60" s="5" t="s">
        <v>98</v>
      </c>
      <c r="D60" s="5" t="str">
        <f>IF(B60=C60,"Y","N")</f>
        <v>Y</v>
      </c>
      <c r="E60" s="19" t="s">
        <v>98</v>
      </c>
      <c r="F60" s="5" t="str">
        <f t="shared" si="0"/>
        <v>Y</v>
      </c>
    </row>
    <row r="61" spans="1:9" x14ac:dyDescent="0.25">
      <c r="A61" s="10"/>
      <c r="B61" s="5" t="s">
        <v>100</v>
      </c>
      <c r="C61" s="5" t="s">
        <v>100</v>
      </c>
      <c r="D61" s="5" t="str">
        <f>IF(B61=C61,"Y","N")</f>
        <v>Y</v>
      </c>
      <c r="E61" s="19" t="s">
        <v>100</v>
      </c>
      <c r="F61" s="5" t="str">
        <f t="shared" si="0"/>
        <v>Y</v>
      </c>
      <c r="I61"/>
    </row>
    <row r="62" spans="1:9" x14ac:dyDescent="0.25">
      <c r="A62" s="10"/>
      <c r="B62" s="5" t="s">
        <v>101</v>
      </c>
      <c r="C62" s="5" t="s">
        <v>101</v>
      </c>
      <c r="D62" s="5" t="str">
        <f>IF(B62=C62,"Y","N")</f>
        <v>Y</v>
      </c>
      <c r="E62" s="19" t="s">
        <v>101</v>
      </c>
      <c r="F62" s="5" t="str">
        <f t="shared" si="0"/>
        <v>Y</v>
      </c>
    </row>
    <row r="63" spans="1:9" x14ac:dyDescent="0.25">
      <c r="A63" s="10"/>
      <c r="B63" s="5" t="s">
        <v>102</v>
      </c>
      <c r="C63" s="5" t="s">
        <v>102</v>
      </c>
      <c r="D63" s="5" t="str">
        <f>IF(B63=C63,"Y","N")</f>
        <v>Y</v>
      </c>
      <c r="E63" s="19" t="s">
        <v>102</v>
      </c>
      <c r="F63" s="5" t="str">
        <f t="shared" si="0"/>
        <v>Y</v>
      </c>
    </row>
    <row r="64" spans="1:9" x14ac:dyDescent="0.25">
      <c r="A64" s="10"/>
      <c r="B64" s="5" t="s">
        <v>103</v>
      </c>
      <c r="C64" s="5" t="s">
        <v>103</v>
      </c>
      <c r="D64" s="5" t="str">
        <f>IF(B64=C64,"Y","N")</f>
        <v>Y</v>
      </c>
      <c r="E64" s="19" t="s">
        <v>103</v>
      </c>
      <c r="F64" s="5" t="str">
        <f t="shared" si="0"/>
        <v>Y</v>
      </c>
      <c r="I64"/>
    </row>
    <row r="65" spans="1:9" x14ac:dyDescent="0.25">
      <c r="A65" s="10"/>
      <c r="B65" s="5" t="s">
        <v>105</v>
      </c>
      <c r="C65" s="5" t="s">
        <v>105</v>
      </c>
      <c r="D65" s="5" t="str">
        <f>IF(B65=C65,"Y","N")</f>
        <v>Y</v>
      </c>
      <c r="E65" s="19" t="s">
        <v>105</v>
      </c>
      <c r="F65" s="5" t="str">
        <f t="shared" si="0"/>
        <v>Y</v>
      </c>
      <c r="I65"/>
    </row>
    <row r="66" spans="1:9" x14ac:dyDescent="0.25">
      <c r="A66" s="10"/>
      <c r="B66" s="5" t="s">
        <v>106</v>
      </c>
      <c r="C66" s="5" t="s">
        <v>106</v>
      </c>
      <c r="D66" s="5" t="str">
        <f>IF(B66=C66,"Y","N")</f>
        <v>Y</v>
      </c>
      <c r="E66" s="19" t="s">
        <v>106</v>
      </c>
      <c r="F66" s="5" t="str">
        <f t="shared" si="0"/>
        <v>Y</v>
      </c>
    </row>
    <row r="67" spans="1:9" x14ac:dyDescent="0.25">
      <c r="A67" s="10"/>
      <c r="B67" s="5" t="s">
        <v>110</v>
      </c>
      <c r="C67" s="5" t="s">
        <v>110</v>
      </c>
      <c r="D67" s="5" t="str">
        <f>IF(B67=C67,"Y","N")</f>
        <v>Y</v>
      </c>
      <c r="E67" s="19" t="s">
        <v>110</v>
      </c>
      <c r="F67" s="5" t="str">
        <f t="shared" si="0"/>
        <v>Y</v>
      </c>
    </row>
    <row r="68" spans="1:9" x14ac:dyDescent="0.25">
      <c r="A68" s="10"/>
      <c r="B68" s="5" t="s">
        <v>111</v>
      </c>
      <c r="C68" s="5" t="s">
        <v>111</v>
      </c>
      <c r="D68" s="5" t="str">
        <f>IF(B68=C68,"Y","N")</f>
        <v>Y</v>
      </c>
      <c r="E68" s="19" t="s">
        <v>121</v>
      </c>
      <c r="F68" s="5" t="str">
        <f t="shared" ref="F68:F71" si="1">IF(C68=E68,"Y","N")</f>
        <v>N</v>
      </c>
    </row>
    <row r="69" spans="1:9" x14ac:dyDescent="0.25">
      <c r="A69" s="10"/>
      <c r="B69" s="5" t="s">
        <v>112</v>
      </c>
      <c r="C69" s="5" t="s">
        <v>112</v>
      </c>
      <c r="D69" s="5" t="str">
        <f>IF(B69=C69,"Y","N")</f>
        <v>Y</v>
      </c>
      <c r="E69" s="19" t="s">
        <v>122</v>
      </c>
      <c r="F69" s="5" t="str">
        <f t="shared" si="1"/>
        <v>N</v>
      </c>
    </row>
    <row r="70" spans="1:9" x14ac:dyDescent="0.25">
      <c r="A70" s="10"/>
      <c r="B70" s="5" t="s">
        <v>149</v>
      </c>
      <c r="C70" s="5" t="s">
        <v>149</v>
      </c>
      <c r="D70" s="5" t="str">
        <f>IF(B70=C70,"Y","N")</f>
        <v>Y</v>
      </c>
      <c r="E70" s="19" t="s">
        <v>149</v>
      </c>
      <c r="F70" s="5" t="str">
        <f t="shared" si="1"/>
        <v>Y</v>
      </c>
    </row>
    <row r="71" spans="1:9" x14ac:dyDescent="0.25">
      <c r="A71" s="10"/>
      <c r="B71" s="5" t="s">
        <v>150</v>
      </c>
      <c r="C71" s="5" t="s">
        <v>150</v>
      </c>
      <c r="D71" s="5" t="str">
        <f>IF(B71=C71,"Y","N")</f>
        <v>Y</v>
      </c>
      <c r="E71" s="19" t="s">
        <v>150</v>
      </c>
      <c r="F71" s="5" t="str">
        <f t="shared" si="1"/>
        <v>Y</v>
      </c>
    </row>
  </sheetData>
  <autoFilter ref="A2:J71" xr:uid="{00000000-0001-0000-0400-000000000000}"/>
  <conditionalFormatting sqref="E1 D47 D48:E51 D52:D54 I47 D2:E46 D55:E1048576">
    <cfRule type="cellIs" dxfId="62" priority="3" operator="equal">
      <formula>"N"</formula>
    </cfRule>
  </conditionalFormatting>
  <conditionalFormatting sqref="F3:F71">
    <cfRule type="cellIs" dxfId="61" priority="2" operator="equal">
      <formula>"N"</formula>
    </cfRule>
  </conditionalFormatting>
  <conditionalFormatting sqref="G23">
    <cfRule type="cellIs" dxfId="60" priority="1" operator="equal">
      <formula>"N"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8"/>
  <sheetViews>
    <sheetView workbookViewId="0">
      <selection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7" t="s">
        <v>1</v>
      </c>
    </row>
    <row r="2" spans="1:10" x14ac:dyDescent="0.25">
      <c r="A2" s="3" t="s">
        <v>333</v>
      </c>
      <c r="B2" s="12" t="s">
        <v>151</v>
      </c>
      <c r="C2" s="12" t="s">
        <v>153</v>
      </c>
      <c r="D2" s="5" t="s">
        <v>336</v>
      </c>
      <c r="E2" s="12" t="s">
        <v>152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19" t="s">
        <v>30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19" t="s">
        <v>32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36</v>
      </c>
      <c r="C19" s="5" t="s">
        <v>36</v>
      </c>
      <c r="D19" s="5" t="str">
        <f>IF(B19=C19,"Y","N")</f>
        <v>Y</v>
      </c>
      <c r="E19" s="19" t="s">
        <v>36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38</v>
      </c>
      <c r="C20" s="5" t="s">
        <v>38</v>
      </c>
      <c r="D20" s="5" t="str">
        <f>IF(B20=C20,"Y","N")</f>
        <v>Y</v>
      </c>
      <c r="E20" s="19" t="s">
        <v>38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42</v>
      </c>
      <c r="C21" s="5" t="s">
        <v>42</v>
      </c>
      <c r="D21" s="5" t="str">
        <f>IF(B21=C21,"Y","N")</f>
        <v>Y</v>
      </c>
      <c r="E21" s="19" t="s">
        <v>42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44</v>
      </c>
      <c r="C22" s="5" t="s">
        <v>44</v>
      </c>
      <c r="D22" s="5" t="str">
        <f>IF(B22=C22,"Y","N")</f>
        <v>Y</v>
      </c>
      <c r="E22" s="19" t="s">
        <v>44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45</v>
      </c>
      <c r="C23" s="5" t="s">
        <v>45</v>
      </c>
      <c r="D23" s="5" t="str">
        <f>IF(B23=C23,"Y","N")</f>
        <v>Y</v>
      </c>
      <c r="E23" s="6"/>
      <c r="F23" s="5" t="str">
        <f t="shared" si="0"/>
        <v>N</v>
      </c>
      <c r="G23" s="14" t="s">
        <v>341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46</v>
      </c>
      <c r="C24" s="5" t="s">
        <v>46</v>
      </c>
      <c r="D24" s="5" t="str">
        <f>IF(B24=C24,"Y","N")</f>
        <v>Y</v>
      </c>
      <c r="E24" s="19" t="s">
        <v>46</v>
      </c>
      <c r="F24" s="5" t="str">
        <f t="shared" si="0"/>
        <v>Y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47</v>
      </c>
      <c r="C25" s="5" t="s">
        <v>47</v>
      </c>
      <c r="D25" s="5" t="str">
        <f>IF(B25=C25,"Y","N")</f>
        <v>Y</v>
      </c>
      <c r="E25" s="19" t="s">
        <v>56</v>
      </c>
      <c r="F25" s="5" t="str">
        <f t="shared" si="0"/>
        <v>N</v>
      </c>
    </row>
    <row r="26" spans="1:10" x14ac:dyDescent="0.25">
      <c r="A26" s="10"/>
      <c r="B26" s="5" t="s">
        <v>48</v>
      </c>
      <c r="C26" s="5" t="s">
        <v>48</v>
      </c>
      <c r="D26" s="5" t="str">
        <f>IF(B26=C26,"Y","N")</f>
        <v>Y</v>
      </c>
      <c r="E26" s="19" t="s">
        <v>58</v>
      </c>
      <c r="F26" s="5" t="str">
        <f t="shared" si="0"/>
        <v>N</v>
      </c>
    </row>
    <row r="27" spans="1:10" x14ac:dyDescent="0.25">
      <c r="A27" s="10"/>
      <c r="B27" s="5" t="s">
        <v>49</v>
      </c>
      <c r="C27" s="5" t="s">
        <v>49</v>
      </c>
      <c r="D27" s="5" t="str">
        <f>IF(B27=C27,"Y","N")</f>
        <v>Y</v>
      </c>
      <c r="E27" s="19" t="s">
        <v>60</v>
      </c>
      <c r="F27" s="5" t="str">
        <f t="shared" si="0"/>
        <v>N</v>
      </c>
    </row>
    <row r="28" spans="1:10" x14ac:dyDescent="0.25">
      <c r="A28" s="10"/>
      <c r="B28" s="5" t="s">
        <v>50</v>
      </c>
      <c r="C28" s="5" t="s">
        <v>50</v>
      </c>
      <c r="D28" s="5" t="str">
        <f>IF(B28=C28,"Y","N")</f>
        <v>Y</v>
      </c>
      <c r="E28" s="19" t="s">
        <v>62</v>
      </c>
      <c r="F28" s="5" t="str">
        <f t="shared" si="0"/>
        <v>N</v>
      </c>
    </row>
    <row r="29" spans="1:10" x14ac:dyDescent="0.25">
      <c r="A29" s="10"/>
      <c r="B29" s="5" t="s">
        <v>51</v>
      </c>
      <c r="C29" s="5" t="s">
        <v>51</v>
      </c>
      <c r="D29" s="5" t="str">
        <f>IF(B29=C29,"Y","N")</f>
        <v>Y</v>
      </c>
      <c r="E29" s="19" t="s">
        <v>64</v>
      </c>
      <c r="F29" s="5" t="str">
        <f t="shared" si="0"/>
        <v>N</v>
      </c>
      <c r="I29"/>
    </row>
    <row r="30" spans="1:10" x14ac:dyDescent="0.25">
      <c r="A30" s="10"/>
      <c r="B30" s="5" t="s">
        <v>53</v>
      </c>
      <c r="C30" s="5" t="s">
        <v>53</v>
      </c>
      <c r="D30" s="5" t="str">
        <f>IF(B30=C30,"Y","N")</f>
        <v>Y</v>
      </c>
      <c r="E30" s="19" t="s">
        <v>66</v>
      </c>
      <c r="F30" s="5" t="str">
        <f t="shared" si="0"/>
        <v>N</v>
      </c>
    </row>
    <row r="31" spans="1:10" x14ac:dyDescent="0.25">
      <c r="A31" s="10"/>
      <c r="B31" s="5" t="s">
        <v>54</v>
      </c>
      <c r="C31" s="5" t="s">
        <v>54</v>
      </c>
      <c r="D31" s="5" t="str">
        <f>IF(B31=C31,"Y","N")</f>
        <v>Y</v>
      </c>
      <c r="E31" s="19" t="s">
        <v>68</v>
      </c>
      <c r="F31" s="5" t="str">
        <f t="shared" si="0"/>
        <v>N</v>
      </c>
    </row>
    <row r="32" spans="1:10" x14ac:dyDescent="0.25">
      <c r="A32" s="10"/>
      <c r="B32" s="5" t="s">
        <v>55</v>
      </c>
      <c r="C32" s="5" t="s">
        <v>55</v>
      </c>
      <c r="D32" s="5" t="str">
        <f>IF(B32=C32,"Y","N")</f>
        <v>Y</v>
      </c>
      <c r="E32" s="19" t="s">
        <v>70</v>
      </c>
      <c r="F32" s="5" t="str">
        <f t="shared" si="0"/>
        <v>N</v>
      </c>
    </row>
    <row r="33" spans="1:9" x14ac:dyDescent="0.25">
      <c r="A33" s="10"/>
      <c r="B33" s="5" t="s">
        <v>57</v>
      </c>
      <c r="C33" s="5" t="s">
        <v>57</v>
      </c>
      <c r="D33" s="5" t="str">
        <f>IF(B33=C33,"Y","N")</f>
        <v>Y</v>
      </c>
      <c r="E33" s="19" t="s">
        <v>72</v>
      </c>
      <c r="F33" s="5" t="str">
        <f t="shared" si="0"/>
        <v>N</v>
      </c>
    </row>
    <row r="34" spans="1:9" x14ac:dyDescent="0.25">
      <c r="A34" s="10"/>
      <c r="B34" s="5" t="s">
        <v>59</v>
      </c>
      <c r="C34" s="5" t="s">
        <v>59</v>
      </c>
      <c r="D34" s="5" t="str">
        <f>IF(B34=C34,"Y","N")</f>
        <v>Y</v>
      </c>
      <c r="E34" s="19" t="s">
        <v>74</v>
      </c>
      <c r="F34" s="5" t="str">
        <f t="shared" si="0"/>
        <v>N</v>
      </c>
    </row>
    <row r="35" spans="1:9" x14ac:dyDescent="0.25">
      <c r="A35" s="10"/>
      <c r="B35" s="5" t="s">
        <v>61</v>
      </c>
      <c r="C35" s="5" t="s">
        <v>61</v>
      </c>
      <c r="D35" s="5" t="str">
        <f>IF(B35=C35,"Y","N")</f>
        <v>Y</v>
      </c>
      <c r="E35" s="19" t="s">
        <v>76</v>
      </c>
      <c r="F35" s="5" t="str">
        <f t="shared" si="0"/>
        <v>N</v>
      </c>
    </row>
    <row r="36" spans="1:9" x14ac:dyDescent="0.25">
      <c r="A36" s="10"/>
      <c r="B36" s="5" t="s">
        <v>63</v>
      </c>
      <c r="C36" s="5" t="s">
        <v>63</v>
      </c>
      <c r="D36" s="5" t="str">
        <f>IF(B36=C36,"Y","N")</f>
        <v>Y</v>
      </c>
      <c r="E36" s="19" t="s">
        <v>78</v>
      </c>
      <c r="F36" s="5" t="str">
        <f t="shared" si="0"/>
        <v>N</v>
      </c>
    </row>
    <row r="37" spans="1:9" x14ac:dyDescent="0.25">
      <c r="A37" s="10"/>
      <c r="B37" s="5" t="s">
        <v>65</v>
      </c>
      <c r="C37" s="5" t="s">
        <v>65</v>
      </c>
      <c r="D37" s="5" t="str">
        <f>IF(B37=C37,"Y","N")</f>
        <v>Y</v>
      </c>
      <c r="E37" s="19" t="s">
        <v>80</v>
      </c>
      <c r="F37" s="5" t="str">
        <f t="shared" si="0"/>
        <v>N</v>
      </c>
    </row>
    <row r="38" spans="1:9" x14ac:dyDescent="0.25">
      <c r="A38" s="10"/>
      <c r="B38" s="5" t="s">
        <v>67</v>
      </c>
      <c r="C38" s="5" t="s">
        <v>67</v>
      </c>
      <c r="D38" s="5" t="str">
        <f>IF(B38=C38,"Y","N")</f>
        <v>Y</v>
      </c>
      <c r="E38" s="19" t="s">
        <v>82</v>
      </c>
      <c r="F38" s="5" t="str">
        <f t="shared" si="0"/>
        <v>N</v>
      </c>
    </row>
    <row r="39" spans="1:9" x14ac:dyDescent="0.25">
      <c r="A39" s="10"/>
      <c r="B39" s="5" t="s">
        <v>69</v>
      </c>
      <c r="C39" s="5" t="s">
        <v>69</v>
      </c>
      <c r="D39" s="5" t="str">
        <f>IF(B39=C39,"Y","N")</f>
        <v>Y</v>
      </c>
      <c r="E39" s="19" t="s">
        <v>84</v>
      </c>
      <c r="F39" s="5" t="str">
        <f t="shared" si="0"/>
        <v>N</v>
      </c>
    </row>
    <row r="40" spans="1:9" x14ac:dyDescent="0.25">
      <c r="A40" s="10"/>
      <c r="B40" s="5" t="s">
        <v>71</v>
      </c>
      <c r="C40" s="5" t="s">
        <v>71</v>
      </c>
      <c r="D40" s="5" t="str">
        <f>IF(B40=C40,"Y","N")</f>
        <v>Y</v>
      </c>
      <c r="E40" s="19" t="s">
        <v>71</v>
      </c>
      <c r="F40" s="5" t="str">
        <f t="shared" si="0"/>
        <v>Y</v>
      </c>
    </row>
    <row r="41" spans="1:9" x14ac:dyDescent="0.25">
      <c r="A41" s="10"/>
      <c r="B41" s="5" t="s">
        <v>73</v>
      </c>
      <c r="C41" s="5" t="s">
        <v>73</v>
      </c>
      <c r="D41" s="5" t="str">
        <f>IF(B41=C41,"Y","N")</f>
        <v>Y</v>
      </c>
      <c r="E41" s="19" t="s">
        <v>73</v>
      </c>
      <c r="F41" s="5" t="str">
        <f t="shared" si="0"/>
        <v>Y</v>
      </c>
    </row>
    <row r="42" spans="1:9" x14ac:dyDescent="0.25">
      <c r="A42" s="10"/>
      <c r="B42" s="5" t="s">
        <v>75</v>
      </c>
      <c r="C42" s="5" t="s">
        <v>75</v>
      </c>
      <c r="D42" s="5" t="str">
        <f>IF(B42=C42,"Y","N")</f>
        <v>Y</v>
      </c>
      <c r="E42" s="19" t="s">
        <v>75</v>
      </c>
      <c r="F42" s="5" t="str">
        <f t="shared" si="0"/>
        <v>Y</v>
      </c>
    </row>
    <row r="43" spans="1:9" x14ac:dyDescent="0.25">
      <c r="A43" s="10"/>
      <c r="B43" s="5" t="s">
        <v>77</v>
      </c>
      <c r="C43" s="5" t="s">
        <v>77</v>
      </c>
      <c r="D43" s="5" t="str">
        <f>IF(B43=C43,"Y","N")</f>
        <v>Y</v>
      </c>
      <c r="E43" s="19" t="s">
        <v>77</v>
      </c>
      <c r="F43" s="5" t="str">
        <f t="shared" si="0"/>
        <v>Y</v>
      </c>
    </row>
    <row r="44" spans="1:9" x14ac:dyDescent="0.25">
      <c r="A44" s="10"/>
      <c r="B44" s="5" t="s">
        <v>79</v>
      </c>
      <c r="C44" s="5" t="s">
        <v>79</v>
      </c>
      <c r="D44" s="5" t="str">
        <f>IF(B44=C44,"Y","N")</f>
        <v>Y</v>
      </c>
      <c r="E44" s="19" t="s">
        <v>79</v>
      </c>
      <c r="F44" s="5" t="str">
        <f t="shared" si="0"/>
        <v>Y</v>
      </c>
    </row>
    <row r="45" spans="1:9" x14ac:dyDescent="0.25">
      <c r="A45" s="10"/>
      <c r="B45" s="5" t="s">
        <v>81</v>
      </c>
      <c r="C45" s="5" t="s">
        <v>81</v>
      </c>
      <c r="D45" s="5" t="str">
        <f>IF(B45=C45,"Y","N")</f>
        <v>Y</v>
      </c>
      <c r="E45" s="19" t="s">
        <v>81</v>
      </c>
      <c r="F45" s="5" t="str">
        <f t="shared" si="0"/>
        <v>Y</v>
      </c>
    </row>
    <row r="46" spans="1:9" x14ac:dyDescent="0.25">
      <c r="A46" s="10"/>
      <c r="B46" s="5" t="s">
        <v>83</v>
      </c>
      <c r="C46" s="5" t="s">
        <v>83</v>
      </c>
      <c r="D46" s="5" t="str">
        <f>IF(B46=C46,"Y","N")</f>
        <v>Y</v>
      </c>
      <c r="E46" s="19" t="s">
        <v>83</v>
      </c>
      <c r="F46" s="5" t="str">
        <f t="shared" si="0"/>
        <v>Y</v>
      </c>
    </row>
    <row r="47" spans="1:9" x14ac:dyDescent="0.25">
      <c r="A47" s="10"/>
      <c r="B47" s="5" t="s">
        <v>85</v>
      </c>
      <c r="C47" s="5" t="s">
        <v>85</v>
      </c>
      <c r="D47" s="5" t="str">
        <f>IF(B47=C47,"Y","N")</f>
        <v>Y</v>
      </c>
      <c r="E47" s="19" t="s">
        <v>85</v>
      </c>
      <c r="F47" s="5" t="str">
        <f t="shared" si="0"/>
        <v>Y</v>
      </c>
    </row>
    <row r="48" spans="1:9" x14ac:dyDescent="0.25">
      <c r="A48" s="10"/>
      <c r="B48" s="5" t="s">
        <v>86</v>
      </c>
      <c r="C48" s="5" t="s">
        <v>86</v>
      </c>
      <c r="D48" s="5" t="str">
        <f>IF(B48=C48,"Y","N")</f>
        <v>Y</v>
      </c>
      <c r="E48" s="19" t="s">
        <v>86</v>
      </c>
      <c r="F48" s="5" t="str">
        <f t="shared" si="0"/>
        <v>Y</v>
      </c>
      <c r="I48"/>
    </row>
    <row r="49" spans="1:9" x14ac:dyDescent="0.25">
      <c r="A49" s="10"/>
      <c r="B49" s="5" t="s">
        <v>88</v>
      </c>
      <c r="C49" s="5" t="s">
        <v>88</v>
      </c>
      <c r="D49" s="5" t="str">
        <f>IF(B49=C49,"Y","N")</f>
        <v>Y</v>
      </c>
      <c r="E49" s="19" t="s">
        <v>88</v>
      </c>
      <c r="F49" s="5" t="str">
        <f t="shared" si="0"/>
        <v>Y</v>
      </c>
    </row>
    <row r="50" spans="1:9" x14ac:dyDescent="0.25">
      <c r="A50" s="10"/>
      <c r="B50" s="5" t="s">
        <v>89</v>
      </c>
      <c r="C50" s="5" t="s">
        <v>89</v>
      </c>
      <c r="D50" s="5" t="str">
        <f>IF(B50=C50,"Y","N")</f>
        <v>Y</v>
      </c>
      <c r="E50" s="19" t="s">
        <v>89</v>
      </c>
      <c r="F50" s="5" t="str">
        <f t="shared" si="0"/>
        <v>Y</v>
      </c>
    </row>
    <row r="51" spans="1:9" x14ac:dyDescent="0.25">
      <c r="A51" s="10"/>
      <c r="B51" s="5" t="s">
        <v>90</v>
      </c>
      <c r="C51" s="5" t="s">
        <v>90</v>
      </c>
      <c r="D51" s="5" t="str">
        <f>IF(B51=C51,"Y","N")</f>
        <v>Y</v>
      </c>
      <c r="E51" s="19" t="s">
        <v>90</v>
      </c>
      <c r="F51" s="5" t="str">
        <f t="shared" si="0"/>
        <v>Y</v>
      </c>
    </row>
    <row r="52" spans="1:9" x14ac:dyDescent="0.25">
      <c r="A52" s="10"/>
      <c r="B52" s="5" t="s">
        <v>91</v>
      </c>
      <c r="C52" s="5" t="s">
        <v>91</v>
      </c>
      <c r="D52" s="5" t="str">
        <f>IF(B52=C52,"Y","N")</f>
        <v>Y</v>
      </c>
      <c r="E52" s="19" t="s">
        <v>91</v>
      </c>
      <c r="F52" s="5" t="str">
        <f t="shared" si="0"/>
        <v>Y</v>
      </c>
    </row>
    <row r="53" spans="1:9" x14ac:dyDescent="0.25">
      <c r="A53" s="10"/>
      <c r="B53" s="5" t="s">
        <v>92</v>
      </c>
      <c r="C53" s="5" t="s">
        <v>92</v>
      </c>
      <c r="D53" s="5" t="str">
        <f>IF(B53=C53,"Y","N")</f>
        <v>Y</v>
      </c>
      <c r="E53" s="19" t="s">
        <v>92</v>
      </c>
      <c r="F53" s="5" t="str">
        <f t="shared" si="0"/>
        <v>Y</v>
      </c>
    </row>
    <row r="54" spans="1:9" x14ac:dyDescent="0.25">
      <c r="A54" s="10"/>
      <c r="B54" s="5" t="s">
        <v>93</v>
      </c>
      <c r="C54" s="5" t="s">
        <v>93</v>
      </c>
      <c r="D54" s="5" t="str">
        <f>IF(B54=C54,"Y","N")</f>
        <v>Y</v>
      </c>
      <c r="E54" s="19" t="s">
        <v>93</v>
      </c>
      <c r="F54" s="5" t="str">
        <f t="shared" si="0"/>
        <v>Y</v>
      </c>
      <c r="I54"/>
    </row>
    <row r="55" spans="1:9" x14ac:dyDescent="0.25">
      <c r="A55" s="10"/>
      <c r="B55" s="5" t="s">
        <v>95</v>
      </c>
      <c r="C55" s="5" t="s">
        <v>95</v>
      </c>
      <c r="D55" s="5" t="str">
        <f>IF(B55=C55,"Y","N")</f>
        <v>Y</v>
      </c>
      <c r="E55" s="19" t="s">
        <v>95</v>
      </c>
      <c r="F55" s="5" t="str">
        <f t="shared" si="0"/>
        <v>Y</v>
      </c>
    </row>
    <row r="56" spans="1:9" x14ac:dyDescent="0.25">
      <c r="A56" s="10"/>
      <c r="B56" s="5" t="s">
        <v>96</v>
      </c>
      <c r="C56" s="5" t="s">
        <v>96</v>
      </c>
      <c r="D56" s="5" t="str">
        <f>IF(B56=C56,"Y","N")</f>
        <v>Y</v>
      </c>
      <c r="E56" s="19" t="s">
        <v>96</v>
      </c>
      <c r="F56" s="5" t="str">
        <f t="shared" si="0"/>
        <v>Y</v>
      </c>
    </row>
    <row r="57" spans="1:9" x14ac:dyDescent="0.25">
      <c r="A57" s="10"/>
      <c r="B57" s="5" t="s">
        <v>97</v>
      </c>
      <c r="C57" s="5" t="s">
        <v>97</v>
      </c>
      <c r="D57" s="5" t="str">
        <f>IF(B57=C57,"Y","N")</f>
        <v>Y</v>
      </c>
      <c r="E57" s="19" t="s">
        <v>97</v>
      </c>
      <c r="F57" s="5" t="str">
        <f t="shared" si="0"/>
        <v>Y</v>
      </c>
    </row>
    <row r="58" spans="1:9" x14ac:dyDescent="0.25">
      <c r="A58" s="10"/>
      <c r="B58" s="5" t="s">
        <v>98</v>
      </c>
      <c r="C58" s="5" t="s">
        <v>98</v>
      </c>
      <c r="D58" s="5" t="str">
        <f>IF(B58=C58,"Y","N")</f>
        <v>Y</v>
      </c>
      <c r="E58" s="19" t="s">
        <v>98</v>
      </c>
      <c r="F58" s="5" t="str">
        <f t="shared" si="0"/>
        <v>Y</v>
      </c>
      <c r="I58"/>
    </row>
    <row r="59" spans="1:9" x14ac:dyDescent="0.25">
      <c r="A59" s="10"/>
      <c r="B59" s="5" t="s">
        <v>100</v>
      </c>
      <c r="C59" s="5" t="s">
        <v>100</v>
      </c>
      <c r="D59" s="5" t="str">
        <f>IF(B59=C59,"Y","N")</f>
        <v>Y</v>
      </c>
      <c r="E59" s="19" t="s">
        <v>100</v>
      </c>
      <c r="F59" s="5" t="str">
        <f t="shared" si="0"/>
        <v>Y</v>
      </c>
    </row>
    <row r="60" spans="1:9" x14ac:dyDescent="0.25">
      <c r="A60" s="10"/>
      <c r="B60" s="5" t="s">
        <v>101</v>
      </c>
      <c r="C60" s="5" t="s">
        <v>101</v>
      </c>
      <c r="D60" s="5" t="str">
        <f>IF(B60=C60,"Y","N")</f>
        <v>Y</v>
      </c>
      <c r="E60" s="19" t="s">
        <v>101</v>
      </c>
      <c r="F60" s="5" t="str">
        <f t="shared" si="0"/>
        <v>Y</v>
      </c>
    </row>
    <row r="61" spans="1:9" x14ac:dyDescent="0.25">
      <c r="A61" s="10"/>
      <c r="B61" s="5" t="s">
        <v>102</v>
      </c>
      <c r="C61" s="5" t="s">
        <v>102</v>
      </c>
      <c r="D61" s="5" t="str">
        <f>IF(B61=C61,"Y","N")</f>
        <v>Y</v>
      </c>
      <c r="E61" s="19" t="s">
        <v>102</v>
      </c>
      <c r="F61" s="5" t="str">
        <f t="shared" si="0"/>
        <v>Y</v>
      </c>
    </row>
    <row r="62" spans="1:9" x14ac:dyDescent="0.25">
      <c r="A62" s="10"/>
      <c r="B62" s="5" t="s">
        <v>103</v>
      </c>
      <c r="C62" s="5" t="s">
        <v>103</v>
      </c>
      <c r="D62" s="5" t="str">
        <f>IF(B62=C62,"Y","N")</f>
        <v>Y</v>
      </c>
      <c r="E62" s="19" t="s">
        <v>103</v>
      </c>
      <c r="F62" s="5" t="str">
        <f t="shared" si="0"/>
        <v>Y</v>
      </c>
      <c r="I62"/>
    </row>
    <row r="63" spans="1:9" x14ac:dyDescent="0.25">
      <c r="A63" s="10"/>
      <c r="B63" s="5" t="s">
        <v>105</v>
      </c>
      <c r="C63" s="5" t="s">
        <v>105</v>
      </c>
      <c r="D63" s="5" t="str">
        <f>IF(B63=C63,"Y","N")</f>
        <v>Y</v>
      </c>
      <c r="E63" s="19" t="s">
        <v>105</v>
      </c>
      <c r="F63" s="5" t="str">
        <f t="shared" si="0"/>
        <v>Y</v>
      </c>
    </row>
    <row r="64" spans="1:9" x14ac:dyDescent="0.25">
      <c r="A64" s="10"/>
      <c r="B64" s="5" t="s">
        <v>106</v>
      </c>
      <c r="C64" s="5" t="s">
        <v>106</v>
      </c>
      <c r="D64" s="5" t="str">
        <f>IF(B64=C64,"Y","N")</f>
        <v>Y</v>
      </c>
      <c r="E64" s="19" t="s">
        <v>106</v>
      </c>
      <c r="F64" s="5" t="str">
        <f t="shared" si="0"/>
        <v>Y</v>
      </c>
      <c r="I64"/>
    </row>
    <row r="65" spans="1:9" x14ac:dyDescent="0.25">
      <c r="A65" s="10"/>
      <c r="B65" s="5" t="s">
        <v>110</v>
      </c>
      <c r="C65" s="5" t="s">
        <v>110</v>
      </c>
      <c r="D65" s="5" t="str">
        <f>IF(B65=C65,"Y","N")</f>
        <v>Y</v>
      </c>
      <c r="E65" s="19" t="s">
        <v>110</v>
      </c>
      <c r="F65" s="5" t="str">
        <f t="shared" si="0"/>
        <v>Y</v>
      </c>
      <c r="I65"/>
    </row>
    <row r="66" spans="1:9" x14ac:dyDescent="0.25">
      <c r="A66" s="10"/>
      <c r="B66" s="5" t="s">
        <v>111</v>
      </c>
      <c r="C66" s="5" t="s">
        <v>111</v>
      </c>
      <c r="D66" s="5" t="str">
        <f>IF(B66=C66,"Y","N")</f>
        <v>Y</v>
      </c>
      <c r="E66" s="19" t="s">
        <v>121</v>
      </c>
      <c r="F66" s="5" t="str">
        <f t="shared" si="0"/>
        <v>N</v>
      </c>
    </row>
    <row r="67" spans="1:9" x14ac:dyDescent="0.25">
      <c r="A67" s="10"/>
      <c r="B67" s="5" t="s">
        <v>112</v>
      </c>
      <c r="C67" s="5" t="s">
        <v>112</v>
      </c>
      <c r="D67" s="5" t="str">
        <f>IF(B67=C67,"Y","N")</f>
        <v>Y</v>
      </c>
      <c r="E67" s="19" t="s">
        <v>122</v>
      </c>
      <c r="F67" s="5" t="str">
        <f t="shared" si="0"/>
        <v>N</v>
      </c>
    </row>
    <row r="68" spans="1:9" x14ac:dyDescent="0.25">
      <c r="A68" s="10"/>
      <c r="B68" s="5" t="s">
        <v>154</v>
      </c>
      <c r="C68" s="5" t="s">
        <v>154</v>
      </c>
      <c r="D68" s="5" t="str">
        <f>IF(B68=C68,"Y","N")</f>
        <v>Y</v>
      </c>
      <c r="E68" s="19" t="s">
        <v>154</v>
      </c>
      <c r="F68" s="5" t="str">
        <f t="shared" ref="F68" si="1">IF(C68=E68,"Y","N")</f>
        <v>Y</v>
      </c>
    </row>
  </sheetData>
  <autoFilter ref="A2:J68" xr:uid="{00000000-0001-0000-0500-000000000000}"/>
  <conditionalFormatting sqref="E1 D47 D48:E51 D2:E46 D52:D54 E52 D55:E1048576">
    <cfRule type="cellIs" dxfId="59" priority="3" operator="equal">
      <formula>"N"</formula>
    </cfRule>
  </conditionalFormatting>
  <conditionalFormatting sqref="G23">
    <cfRule type="cellIs" dxfId="58" priority="2" operator="equal">
      <formula>"N"</formula>
    </cfRule>
  </conditionalFormatting>
  <conditionalFormatting sqref="F3:F68">
    <cfRule type="cellIs" dxfId="57" priority="1" operator="equal">
      <formula>"N"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85546875" style="1" customWidth="1"/>
    <col min="7" max="7" width="27.7109375" style="1" bestFit="1" customWidth="1"/>
    <col min="8" max="8" width="3.570312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7" t="s">
        <v>1</v>
      </c>
    </row>
    <row r="2" spans="1:10" x14ac:dyDescent="0.25">
      <c r="A2" s="3" t="s">
        <v>333</v>
      </c>
      <c r="B2" s="12" t="s">
        <v>155</v>
      </c>
      <c r="C2" s="12" t="s">
        <v>157</v>
      </c>
      <c r="D2" s="5" t="s">
        <v>336</v>
      </c>
      <c r="E2" s="12" t="s">
        <v>156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158</v>
      </c>
      <c r="C3" s="5" t="s">
        <v>158</v>
      </c>
      <c r="D3" s="5" t="str">
        <f>IF(B3=C3,"Y","N")</f>
        <v>Y</v>
      </c>
      <c r="E3" s="19" t="s">
        <v>158</v>
      </c>
      <c r="F3" s="5" t="str">
        <f>IF(C3=E3,"Y","N")</f>
        <v>Y</v>
      </c>
      <c r="H3" s="5">
        <v>1</v>
      </c>
      <c r="I3" s="5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6</v>
      </c>
      <c r="C4" s="5" t="s">
        <v>6</v>
      </c>
      <c r="D4" s="5" t="str">
        <f>IF(B4=C4,"Y","N")</f>
        <v>Y</v>
      </c>
      <c r="E4" s="19" t="s">
        <v>6</v>
      </c>
      <c r="F4" s="5" t="str">
        <f t="shared" ref="F4:F67" si="0">IF(C4=E4,"Y","N")</f>
        <v>Y</v>
      </c>
      <c r="H4" s="5">
        <v>2</v>
      </c>
      <c r="I4" s="19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8</v>
      </c>
      <c r="C5" s="5" t="s">
        <v>8</v>
      </c>
      <c r="D5" s="5" t="str">
        <f>IF(B5=C5,"Y","N")</f>
        <v>Y</v>
      </c>
      <c r="E5" s="19" t="s">
        <v>8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9</v>
      </c>
      <c r="C6" s="5" t="s">
        <v>9</v>
      </c>
      <c r="D6" s="5" t="str">
        <f>IF(B6=C6,"Y","N")</f>
        <v>Y</v>
      </c>
      <c r="E6" s="19" t="s">
        <v>9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10</v>
      </c>
      <c r="C7" s="5" t="s">
        <v>10</v>
      </c>
      <c r="D7" s="5" t="str">
        <f>IF(B7=C7,"Y","N")</f>
        <v>Y</v>
      </c>
      <c r="E7" s="19" t="s">
        <v>10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11</v>
      </c>
      <c r="C8" s="5" t="s">
        <v>11</v>
      </c>
      <c r="D8" s="5" t="str">
        <f>IF(B8=C8,"Y","N")</f>
        <v>Y</v>
      </c>
      <c r="E8" s="19" t="s">
        <v>11</v>
      </c>
      <c r="F8" s="5" t="str">
        <f t="shared" si="0"/>
        <v>Y</v>
      </c>
      <c r="H8" s="5">
        <v>6</v>
      </c>
      <c r="I8" s="5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12</v>
      </c>
      <c r="C9" s="5" t="s">
        <v>12</v>
      </c>
      <c r="D9" s="5" t="str">
        <f>IF(B9=C9,"Y","N")</f>
        <v>Y</v>
      </c>
      <c r="E9" s="19" t="s">
        <v>16</v>
      </c>
      <c r="F9" s="5" t="str">
        <f t="shared" si="0"/>
        <v>N</v>
      </c>
      <c r="H9" s="5">
        <v>7</v>
      </c>
      <c r="I9" s="19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14</v>
      </c>
      <c r="C10" s="5" t="s">
        <v>14</v>
      </c>
      <c r="D10" s="5" t="str">
        <f>IF(B10=C10,"Y","N")</f>
        <v>Y</v>
      </c>
      <c r="E10" s="19" t="s">
        <v>18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17</v>
      </c>
      <c r="C11" s="5" t="s">
        <v>17</v>
      </c>
      <c r="D11" s="5" t="str">
        <f>IF(B11=C11,"Y","N")</f>
        <v>Y</v>
      </c>
      <c r="E11" s="19" t="s">
        <v>31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19</v>
      </c>
      <c r="C12" s="5" t="s">
        <v>19</v>
      </c>
      <c r="D12" s="5" t="str">
        <f>IF(B12=C12,"Y","N")</f>
        <v>Y</v>
      </c>
      <c r="E12" s="19" t="s">
        <v>33</v>
      </c>
      <c r="F12" s="5" t="str">
        <f t="shared" si="0"/>
        <v>N</v>
      </c>
      <c r="H12" s="5">
        <v>10</v>
      </c>
      <c r="I12" s="5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21</v>
      </c>
      <c r="C13" s="5" t="s">
        <v>21</v>
      </c>
      <c r="D13" s="5" t="str">
        <f>IF(B13=C13,"Y","N")</f>
        <v>Y</v>
      </c>
      <c r="E13" s="19" t="s">
        <v>35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23</v>
      </c>
      <c r="C14" s="5" t="s">
        <v>23</v>
      </c>
      <c r="D14" s="5" t="str">
        <f>IF(B14=C14,"Y","N")</f>
        <v>Y</v>
      </c>
      <c r="E14" s="19" t="s">
        <v>37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24</v>
      </c>
      <c r="C15" s="5" t="s">
        <v>24</v>
      </c>
      <c r="D15" s="5" t="str">
        <f>IF(B15=C15,"Y","N")</f>
        <v>Y</v>
      </c>
      <c r="E15" s="19" t="s">
        <v>39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26</v>
      </c>
      <c r="C16" s="5" t="s">
        <v>26</v>
      </c>
      <c r="D16" s="5" t="str">
        <f>IF(B16=C16,"Y","N")</f>
        <v>Y</v>
      </c>
      <c r="E16" s="19" t="s">
        <v>41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28</v>
      </c>
      <c r="C17" s="5" t="s">
        <v>28</v>
      </c>
      <c r="D17" s="5" t="str">
        <f>IF(B17=C17,"Y","N")</f>
        <v>Y</v>
      </c>
      <c r="E17" s="19" t="s">
        <v>43</v>
      </c>
      <c r="F17" s="5" t="str">
        <f t="shared" si="0"/>
        <v>N</v>
      </c>
      <c r="H17" s="5">
        <v>15</v>
      </c>
      <c r="I17" s="19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30</v>
      </c>
      <c r="C18" s="5" t="s">
        <v>30</v>
      </c>
      <c r="D18" s="5" t="str">
        <f>IF(B18=C18,"Y","N")</f>
        <v>Y</v>
      </c>
      <c r="E18" s="19" t="s">
        <v>30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32</v>
      </c>
      <c r="C19" s="5" t="s">
        <v>32</v>
      </c>
      <c r="D19" s="5" t="str">
        <f>IF(B19=C19,"Y","N")</f>
        <v>Y</v>
      </c>
      <c r="E19" s="19" t="s">
        <v>32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36</v>
      </c>
      <c r="C20" s="5" t="s">
        <v>36</v>
      </c>
      <c r="D20" s="5" t="str">
        <f>IF(B20=C20,"Y","N")</f>
        <v>Y</v>
      </c>
      <c r="E20" s="19" t="s">
        <v>36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38</v>
      </c>
      <c r="C21" s="5" t="s">
        <v>38</v>
      </c>
      <c r="D21" s="5" t="str">
        <f>IF(B21=C21,"Y","N")</f>
        <v>Y</v>
      </c>
      <c r="E21" s="19" t="s">
        <v>38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42</v>
      </c>
      <c r="C22" s="5" t="s">
        <v>42</v>
      </c>
      <c r="D22" s="5" t="str">
        <f>IF(B22=C22,"Y","N")</f>
        <v>Y</v>
      </c>
      <c r="E22" s="19" t="s">
        <v>42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44</v>
      </c>
      <c r="C23" s="5" t="s">
        <v>44</v>
      </c>
      <c r="D23" s="5" t="str">
        <f>IF(B23=C23,"Y","N")</f>
        <v>Y</v>
      </c>
      <c r="E23" s="19" t="s">
        <v>44</v>
      </c>
      <c r="F23" s="5" t="str">
        <f t="shared" si="0"/>
        <v>Y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45</v>
      </c>
      <c r="C24" s="5" t="s">
        <v>45</v>
      </c>
      <c r="D24" s="5" t="str">
        <f>IF(B24=C24,"Y","N")</f>
        <v>Y</v>
      </c>
      <c r="E24" s="6"/>
      <c r="F24" s="5" t="str">
        <f t="shared" si="0"/>
        <v>N</v>
      </c>
      <c r="G24" s="14" t="s">
        <v>341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46</v>
      </c>
      <c r="C25" s="5" t="s">
        <v>46</v>
      </c>
      <c r="D25" s="5" t="str">
        <f>IF(B25=C25,"Y","N")</f>
        <v>Y</v>
      </c>
      <c r="E25" s="19" t="s">
        <v>46</v>
      </c>
      <c r="F25" s="5" t="str">
        <f t="shared" si="0"/>
        <v>Y</v>
      </c>
    </row>
    <row r="26" spans="1:10" x14ac:dyDescent="0.25">
      <c r="A26" s="10"/>
      <c r="B26" s="5" t="s">
        <v>47</v>
      </c>
      <c r="C26" s="5" t="s">
        <v>47</v>
      </c>
      <c r="D26" s="5" t="str">
        <f>IF(B26=C26,"Y","N")</f>
        <v>Y</v>
      </c>
      <c r="E26" s="19" t="s">
        <v>56</v>
      </c>
      <c r="F26" s="5" t="str">
        <f t="shared" si="0"/>
        <v>N</v>
      </c>
    </row>
    <row r="27" spans="1:10" x14ac:dyDescent="0.25">
      <c r="A27" s="10"/>
      <c r="B27" s="5" t="s">
        <v>48</v>
      </c>
      <c r="C27" s="5" t="s">
        <v>48</v>
      </c>
      <c r="D27" s="5" t="str">
        <f>IF(B27=C27,"Y","N")</f>
        <v>Y</v>
      </c>
      <c r="E27" s="19" t="s">
        <v>58</v>
      </c>
      <c r="F27" s="5" t="str">
        <f t="shared" si="0"/>
        <v>N</v>
      </c>
    </row>
    <row r="28" spans="1:10" x14ac:dyDescent="0.25">
      <c r="A28" s="10"/>
      <c r="B28" s="5" t="s">
        <v>49</v>
      </c>
      <c r="C28" s="5" t="s">
        <v>49</v>
      </c>
      <c r="D28" s="5" t="str">
        <f>IF(B28=C28,"Y","N")</f>
        <v>Y</v>
      </c>
      <c r="E28" s="19" t="s">
        <v>60</v>
      </c>
      <c r="F28" s="5" t="str">
        <f t="shared" si="0"/>
        <v>N</v>
      </c>
    </row>
    <row r="29" spans="1:10" x14ac:dyDescent="0.25">
      <c r="A29" s="10"/>
      <c r="B29" s="5" t="s">
        <v>50</v>
      </c>
      <c r="C29" s="5" t="s">
        <v>50</v>
      </c>
      <c r="D29" s="5" t="str">
        <f>IF(B29=C29,"Y","N")</f>
        <v>Y</v>
      </c>
      <c r="E29" s="19" t="s">
        <v>62</v>
      </c>
      <c r="F29" s="5" t="str">
        <f t="shared" si="0"/>
        <v>N</v>
      </c>
    </row>
    <row r="30" spans="1:10" x14ac:dyDescent="0.25">
      <c r="A30" s="10"/>
      <c r="B30" s="5" t="s">
        <v>51</v>
      </c>
      <c r="C30" s="5" t="s">
        <v>51</v>
      </c>
      <c r="D30" s="5" t="str">
        <f>IF(B30=C30,"Y","N")</f>
        <v>Y</v>
      </c>
      <c r="E30" s="19" t="s">
        <v>64</v>
      </c>
      <c r="F30" s="5" t="str">
        <f t="shared" si="0"/>
        <v>N</v>
      </c>
      <c r="I30"/>
    </row>
    <row r="31" spans="1:10" x14ac:dyDescent="0.25">
      <c r="A31" s="10"/>
      <c r="B31" s="5" t="s">
        <v>53</v>
      </c>
      <c r="C31" s="5" t="s">
        <v>53</v>
      </c>
      <c r="D31" s="5" t="str">
        <f>IF(B31=C31,"Y","N")</f>
        <v>Y</v>
      </c>
      <c r="E31" s="19" t="s">
        <v>66</v>
      </c>
      <c r="F31" s="5" t="str">
        <f t="shared" si="0"/>
        <v>N</v>
      </c>
    </row>
    <row r="32" spans="1:10" x14ac:dyDescent="0.25">
      <c r="A32" s="10"/>
      <c r="B32" s="5" t="s">
        <v>54</v>
      </c>
      <c r="C32" s="5" t="s">
        <v>54</v>
      </c>
      <c r="D32" s="5" t="str">
        <f>IF(B32=C32,"Y","N")</f>
        <v>Y</v>
      </c>
      <c r="E32" s="19" t="s">
        <v>68</v>
      </c>
      <c r="F32" s="5" t="str">
        <f t="shared" si="0"/>
        <v>N</v>
      </c>
    </row>
    <row r="33" spans="1:6" x14ac:dyDescent="0.25">
      <c r="A33" s="10"/>
      <c r="B33" s="5" t="s">
        <v>55</v>
      </c>
      <c r="C33" s="5" t="s">
        <v>55</v>
      </c>
      <c r="D33" s="5" t="str">
        <f>IF(B33=C33,"Y","N")</f>
        <v>Y</v>
      </c>
      <c r="E33" s="19" t="s">
        <v>70</v>
      </c>
      <c r="F33" s="5" t="str">
        <f t="shared" si="0"/>
        <v>N</v>
      </c>
    </row>
    <row r="34" spans="1:6" x14ac:dyDescent="0.25">
      <c r="A34" s="10"/>
      <c r="B34" s="5" t="s">
        <v>57</v>
      </c>
      <c r="C34" s="5" t="s">
        <v>57</v>
      </c>
      <c r="D34" s="5" t="str">
        <f>IF(B34=C34,"Y","N")</f>
        <v>Y</v>
      </c>
      <c r="E34" s="19" t="s">
        <v>72</v>
      </c>
      <c r="F34" s="5" t="str">
        <f t="shared" si="0"/>
        <v>N</v>
      </c>
    </row>
    <row r="35" spans="1:6" x14ac:dyDescent="0.25">
      <c r="A35" s="10"/>
      <c r="B35" s="5" t="s">
        <v>59</v>
      </c>
      <c r="C35" s="5" t="s">
        <v>59</v>
      </c>
      <c r="D35" s="5" t="str">
        <f>IF(B35=C35,"Y","N")</f>
        <v>Y</v>
      </c>
      <c r="E35" s="19" t="s">
        <v>74</v>
      </c>
      <c r="F35" s="5" t="str">
        <f t="shared" si="0"/>
        <v>N</v>
      </c>
    </row>
    <row r="36" spans="1:6" x14ac:dyDescent="0.25">
      <c r="A36" s="10"/>
      <c r="B36" s="5" t="s">
        <v>61</v>
      </c>
      <c r="C36" s="5" t="s">
        <v>61</v>
      </c>
      <c r="D36" s="5" t="str">
        <f>IF(B36=C36,"Y","N")</f>
        <v>Y</v>
      </c>
      <c r="E36" s="19" t="s">
        <v>76</v>
      </c>
      <c r="F36" s="5" t="str">
        <f t="shared" si="0"/>
        <v>N</v>
      </c>
    </row>
    <row r="37" spans="1:6" x14ac:dyDescent="0.25">
      <c r="A37" s="10"/>
      <c r="B37" s="5" t="s">
        <v>63</v>
      </c>
      <c r="C37" s="5" t="s">
        <v>63</v>
      </c>
      <c r="D37" s="5" t="str">
        <f>IF(B37=C37,"Y","N")</f>
        <v>Y</v>
      </c>
      <c r="E37" s="19" t="s">
        <v>78</v>
      </c>
      <c r="F37" s="5" t="str">
        <f t="shared" si="0"/>
        <v>N</v>
      </c>
    </row>
    <row r="38" spans="1:6" x14ac:dyDescent="0.25">
      <c r="A38" s="10"/>
      <c r="B38" s="5" t="s">
        <v>65</v>
      </c>
      <c r="C38" s="5" t="s">
        <v>65</v>
      </c>
      <c r="D38" s="5" t="str">
        <f>IF(B38=C38,"Y","N")</f>
        <v>Y</v>
      </c>
      <c r="E38" s="19" t="s">
        <v>80</v>
      </c>
      <c r="F38" s="5" t="str">
        <f t="shared" si="0"/>
        <v>N</v>
      </c>
    </row>
    <row r="39" spans="1:6" x14ac:dyDescent="0.25">
      <c r="A39" s="10"/>
      <c r="B39" s="5" t="s">
        <v>67</v>
      </c>
      <c r="C39" s="5" t="s">
        <v>67</v>
      </c>
      <c r="D39" s="5" t="str">
        <f>IF(B39=C39,"Y","N")</f>
        <v>Y</v>
      </c>
      <c r="E39" s="19" t="s">
        <v>82</v>
      </c>
      <c r="F39" s="5" t="str">
        <f t="shared" si="0"/>
        <v>N</v>
      </c>
    </row>
    <row r="40" spans="1:6" x14ac:dyDescent="0.25">
      <c r="A40" s="10"/>
      <c r="B40" s="5" t="s">
        <v>69</v>
      </c>
      <c r="C40" s="5" t="s">
        <v>69</v>
      </c>
      <c r="D40" s="5" t="str">
        <f>IF(B40=C40,"Y","N")</f>
        <v>Y</v>
      </c>
      <c r="E40" s="19" t="s">
        <v>84</v>
      </c>
      <c r="F40" s="5" t="str">
        <f t="shared" si="0"/>
        <v>N</v>
      </c>
    </row>
    <row r="41" spans="1:6" x14ac:dyDescent="0.25">
      <c r="A41" s="10"/>
      <c r="B41" s="5" t="s">
        <v>71</v>
      </c>
      <c r="C41" s="5" t="s">
        <v>71</v>
      </c>
      <c r="D41" s="5" t="str">
        <f>IF(B41=C41,"Y","N")</f>
        <v>Y</v>
      </c>
      <c r="E41" s="19" t="s">
        <v>71</v>
      </c>
      <c r="F41" s="5" t="str">
        <f t="shared" si="0"/>
        <v>Y</v>
      </c>
    </row>
    <row r="42" spans="1:6" x14ac:dyDescent="0.25">
      <c r="A42" s="10"/>
      <c r="B42" s="5" t="s">
        <v>73</v>
      </c>
      <c r="C42" s="5" t="s">
        <v>73</v>
      </c>
      <c r="D42" s="5" t="str">
        <f>IF(B42=C42,"Y","N")</f>
        <v>Y</v>
      </c>
      <c r="E42" s="19" t="s">
        <v>73</v>
      </c>
      <c r="F42" s="5" t="str">
        <f t="shared" si="0"/>
        <v>Y</v>
      </c>
    </row>
    <row r="43" spans="1:6" x14ac:dyDescent="0.25">
      <c r="A43" s="10"/>
      <c r="B43" s="5" t="s">
        <v>75</v>
      </c>
      <c r="C43" s="5" t="s">
        <v>75</v>
      </c>
      <c r="D43" s="5" t="str">
        <f>IF(B43=C43,"Y","N")</f>
        <v>Y</v>
      </c>
      <c r="E43" s="19" t="s">
        <v>75</v>
      </c>
      <c r="F43" s="5" t="str">
        <f t="shared" si="0"/>
        <v>Y</v>
      </c>
    </row>
    <row r="44" spans="1:6" x14ac:dyDescent="0.25">
      <c r="A44" s="10"/>
      <c r="B44" s="5" t="s">
        <v>159</v>
      </c>
      <c r="C44" s="5" t="s">
        <v>159</v>
      </c>
      <c r="D44" s="5" t="str">
        <f>IF(B44=C44,"Y","N")</f>
        <v>Y</v>
      </c>
      <c r="E44" s="19" t="s">
        <v>159</v>
      </c>
      <c r="F44" s="5" t="str">
        <f t="shared" si="0"/>
        <v>Y</v>
      </c>
    </row>
    <row r="45" spans="1:6" x14ac:dyDescent="0.25">
      <c r="A45" s="10"/>
      <c r="B45" s="5" t="s">
        <v>77</v>
      </c>
      <c r="C45" s="5" t="s">
        <v>77</v>
      </c>
      <c r="D45" s="5" t="str">
        <f>IF(B45=C45,"Y","N")</f>
        <v>Y</v>
      </c>
      <c r="E45" s="19" t="s">
        <v>77</v>
      </c>
      <c r="F45" s="5" t="str">
        <f t="shared" si="0"/>
        <v>Y</v>
      </c>
    </row>
    <row r="46" spans="1:6" x14ac:dyDescent="0.25">
      <c r="A46" s="10"/>
      <c r="B46" s="5" t="s">
        <v>79</v>
      </c>
      <c r="C46" s="5" t="s">
        <v>79</v>
      </c>
      <c r="D46" s="5" t="str">
        <f>IF(B46=C46,"Y","N")</f>
        <v>Y</v>
      </c>
      <c r="E46" s="19" t="s">
        <v>79</v>
      </c>
      <c r="F46" s="5" t="str">
        <f t="shared" si="0"/>
        <v>Y</v>
      </c>
    </row>
    <row r="47" spans="1:6" x14ac:dyDescent="0.25">
      <c r="A47" s="10"/>
      <c r="B47" s="5" t="s">
        <v>81</v>
      </c>
      <c r="C47" s="5" t="s">
        <v>81</v>
      </c>
      <c r="D47" s="5" t="str">
        <f>IF(B47=C47,"Y","N")</f>
        <v>Y</v>
      </c>
      <c r="E47" s="19" t="s">
        <v>81</v>
      </c>
      <c r="F47" s="5" t="str">
        <f t="shared" si="0"/>
        <v>Y</v>
      </c>
    </row>
    <row r="48" spans="1:6" x14ac:dyDescent="0.25">
      <c r="A48" s="10"/>
      <c r="B48" s="5" t="s">
        <v>83</v>
      </c>
      <c r="C48" s="5" t="s">
        <v>83</v>
      </c>
      <c r="D48" s="5" t="str">
        <f>IF(B48=C48,"Y","N")</f>
        <v>Y</v>
      </c>
      <c r="E48" s="19" t="s">
        <v>83</v>
      </c>
      <c r="F48" s="5" t="str">
        <f t="shared" si="0"/>
        <v>Y</v>
      </c>
    </row>
    <row r="49" spans="1:9" x14ac:dyDescent="0.25">
      <c r="A49" s="10"/>
      <c r="B49" s="5" t="s">
        <v>85</v>
      </c>
      <c r="C49" s="5" t="s">
        <v>85</v>
      </c>
      <c r="D49" s="5" t="str">
        <f>IF(B49=C49,"Y","N")</f>
        <v>Y</v>
      </c>
      <c r="E49" s="19" t="s">
        <v>85</v>
      </c>
      <c r="F49" s="5" t="str">
        <f t="shared" si="0"/>
        <v>Y</v>
      </c>
      <c r="I49"/>
    </row>
    <row r="50" spans="1:9" x14ac:dyDescent="0.25">
      <c r="A50" s="10"/>
      <c r="B50" s="5" t="s">
        <v>86</v>
      </c>
      <c r="C50" s="5" t="s">
        <v>86</v>
      </c>
      <c r="D50" s="5" t="str">
        <f>IF(B50=C50,"Y","N")</f>
        <v>Y</v>
      </c>
      <c r="E50" s="19" t="s">
        <v>86</v>
      </c>
      <c r="F50" s="5" t="str">
        <f t="shared" si="0"/>
        <v>Y</v>
      </c>
    </row>
    <row r="51" spans="1:9" x14ac:dyDescent="0.25">
      <c r="A51" s="10"/>
      <c r="B51" s="5" t="s">
        <v>88</v>
      </c>
      <c r="C51" s="5" t="s">
        <v>88</v>
      </c>
      <c r="D51" s="5" t="str">
        <f>IF(B51=C51,"Y","N")</f>
        <v>Y</v>
      </c>
      <c r="E51" s="19" t="s">
        <v>88</v>
      </c>
      <c r="F51" s="5" t="str">
        <f t="shared" si="0"/>
        <v>Y</v>
      </c>
    </row>
    <row r="52" spans="1:9" x14ac:dyDescent="0.25">
      <c r="A52" s="10"/>
      <c r="B52" s="5" t="s">
        <v>89</v>
      </c>
      <c r="C52" s="5" t="s">
        <v>89</v>
      </c>
      <c r="D52" s="5" t="str">
        <f>IF(B52=C52,"Y","N")</f>
        <v>Y</v>
      </c>
      <c r="E52" s="19" t="s">
        <v>89</v>
      </c>
      <c r="F52" s="5" t="str">
        <f t="shared" si="0"/>
        <v>Y</v>
      </c>
    </row>
    <row r="53" spans="1:9" x14ac:dyDescent="0.25">
      <c r="A53" s="10"/>
      <c r="B53" s="5" t="s">
        <v>90</v>
      </c>
      <c r="C53" s="5" t="s">
        <v>90</v>
      </c>
      <c r="D53" s="5" t="str">
        <f>IF(B53=C53,"Y","N")</f>
        <v>Y</v>
      </c>
      <c r="E53" s="19" t="s">
        <v>90</v>
      </c>
      <c r="F53" s="5" t="str">
        <f t="shared" si="0"/>
        <v>Y</v>
      </c>
    </row>
    <row r="54" spans="1:9" x14ac:dyDescent="0.25">
      <c r="A54" s="10"/>
      <c r="B54" s="5" t="s">
        <v>91</v>
      </c>
      <c r="C54" s="5" t="s">
        <v>91</v>
      </c>
      <c r="D54" s="5" t="str">
        <f>IF(B54=C54,"Y","N")</f>
        <v>Y</v>
      </c>
      <c r="E54" s="19" t="s">
        <v>91</v>
      </c>
      <c r="F54" s="5" t="str">
        <f t="shared" si="0"/>
        <v>Y</v>
      </c>
    </row>
    <row r="55" spans="1:9" x14ac:dyDescent="0.25">
      <c r="A55" s="10"/>
      <c r="B55" s="5" t="s">
        <v>92</v>
      </c>
      <c r="C55" s="5" t="s">
        <v>92</v>
      </c>
      <c r="D55" s="5" t="str">
        <f>IF(B55=C55,"Y","N")</f>
        <v>Y</v>
      </c>
      <c r="E55" s="19" t="s">
        <v>92</v>
      </c>
      <c r="F55" s="5" t="str">
        <f t="shared" si="0"/>
        <v>Y</v>
      </c>
    </row>
    <row r="56" spans="1:9" x14ac:dyDescent="0.25">
      <c r="A56" s="10"/>
      <c r="B56" s="5" t="s">
        <v>93</v>
      </c>
      <c r="C56" s="5" t="s">
        <v>93</v>
      </c>
      <c r="D56" s="5" t="str">
        <f>IF(B56=C56,"Y","N")</f>
        <v>Y</v>
      </c>
      <c r="E56" s="19" t="s">
        <v>93</v>
      </c>
      <c r="F56" s="5" t="str">
        <f t="shared" si="0"/>
        <v>Y</v>
      </c>
      <c r="I56"/>
    </row>
    <row r="57" spans="1:9" x14ac:dyDescent="0.25">
      <c r="A57" s="10"/>
      <c r="B57" s="5" t="s">
        <v>95</v>
      </c>
      <c r="C57" s="5" t="s">
        <v>95</v>
      </c>
      <c r="D57" s="5" t="str">
        <f>IF(B57=C57,"Y","N")</f>
        <v>Y</v>
      </c>
      <c r="E57" s="19" t="s">
        <v>95</v>
      </c>
      <c r="F57" s="5" t="str">
        <f t="shared" si="0"/>
        <v>Y</v>
      </c>
    </row>
    <row r="58" spans="1:9" x14ac:dyDescent="0.25">
      <c r="A58" s="10"/>
      <c r="B58" s="5" t="s">
        <v>96</v>
      </c>
      <c r="C58" s="5" t="s">
        <v>96</v>
      </c>
      <c r="D58" s="5" t="str">
        <f>IF(B58=C58,"Y","N")</f>
        <v>Y</v>
      </c>
      <c r="E58" s="19" t="s">
        <v>96</v>
      </c>
      <c r="F58" s="5" t="str">
        <f t="shared" si="0"/>
        <v>Y</v>
      </c>
    </row>
    <row r="59" spans="1:9" x14ac:dyDescent="0.25">
      <c r="A59" s="10"/>
      <c r="B59" s="5" t="s">
        <v>97</v>
      </c>
      <c r="C59" s="5" t="s">
        <v>97</v>
      </c>
      <c r="D59" s="5" t="str">
        <f>IF(B59=C59,"Y","N")</f>
        <v>Y</v>
      </c>
      <c r="E59" s="19" t="s">
        <v>97</v>
      </c>
      <c r="F59" s="5" t="str">
        <f t="shared" si="0"/>
        <v>Y</v>
      </c>
    </row>
    <row r="60" spans="1:9" x14ac:dyDescent="0.25">
      <c r="A60" s="10"/>
      <c r="B60" s="5" t="s">
        <v>98</v>
      </c>
      <c r="C60" s="5" t="s">
        <v>98</v>
      </c>
      <c r="D60" s="5" t="str">
        <f>IF(B60=C60,"Y","N")</f>
        <v>Y</v>
      </c>
      <c r="E60" s="19" t="s">
        <v>98</v>
      </c>
      <c r="F60" s="5" t="str">
        <f t="shared" si="0"/>
        <v>Y</v>
      </c>
      <c r="I60"/>
    </row>
    <row r="61" spans="1:9" x14ac:dyDescent="0.25">
      <c r="A61" s="10"/>
      <c r="B61" s="5" t="s">
        <v>100</v>
      </c>
      <c r="C61" s="5" t="s">
        <v>100</v>
      </c>
      <c r="D61" s="5" t="str">
        <f>IF(B61=C61,"Y","N")</f>
        <v>Y</v>
      </c>
      <c r="E61" s="19" t="s">
        <v>100</v>
      </c>
      <c r="F61" s="5" t="str">
        <f t="shared" si="0"/>
        <v>Y</v>
      </c>
    </row>
    <row r="62" spans="1:9" x14ac:dyDescent="0.25">
      <c r="A62" s="10"/>
      <c r="B62" s="5" t="s">
        <v>101</v>
      </c>
      <c r="C62" s="5" t="s">
        <v>101</v>
      </c>
      <c r="D62" s="5" t="str">
        <f>IF(B62=C62,"Y","N")</f>
        <v>Y</v>
      </c>
      <c r="E62" s="19" t="s">
        <v>101</v>
      </c>
      <c r="F62" s="5" t="str">
        <f t="shared" si="0"/>
        <v>Y</v>
      </c>
    </row>
    <row r="63" spans="1:9" x14ac:dyDescent="0.25">
      <c r="A63" s="10"/>
      <c r="B63" s="5" t="s">
        <v>102</v>
      </c>
      <c r="C63" s="5" t="s">
        <v>102</v>
      </c>
      <c r="D63" s="5" t="str">
        <f>IF(B63=C63,"Y","N")</f>
        <v>Y</v>
      </c>
      <c r="E63" s="19" t="s">
        <v>102</v>
      </c>
      <c r="F63" s="5" t="str">
        <f t="shared" si="0"/>
        <v>Y</v>
      </c>
    </row>
    <row r="64" spans="1:9" x14ac:dyDescent="0.25">
      <c r="A64" s="10"/>
      <c r="B64" s="5" t="s">
        <v>103</v>
      </c>
      <c r="C64" s="5" t="s">
        <v>103</v>
      </c>
      <c r="D64" s="5" t="str">
        <f>IF(B64=C64,"Y","N")</f>
        <v>Y</v>
      </c>
      <c r="E64" s="19" t="s">
        <v>103</v>
      </c>
      <c r="F64" s="5" t="str">
        <f t="shared" si="0"/>
        <v>Y</v>
      </c>
      <c r="I64"/>
    </row>
    <row r="65" spans="1:9" x14ac:dyDescent="0.25">
      <c r="A65" s="10"/>
      <c r="B65" s="5" t="s">
        <v>105</v>
      </c>
      <c r="C65" s="5" t="s">
        <v>105</v>
      </c>
      <c r="D65" s="5" t="str">
        <f>IF(B65=C65,"Y","N")</f>
        <v>Y</v>
      </c>
      <c r="E65" s="19" t="s">
        <v>105</v>
      </c>
      <c r="F65" s="5" t="str">
        <f t="shared" si="0"/>
        <v>Y</v>
      </c>
    </row>
    <row r="66" spans="1:9" x14ac:dyDescent="0.25">
      <c r="A66" s="10"/>
      <c r="B66" s="5" t="s">
        <v>106</v>
      </c>
      <c r="C66" s="5" t="s">
        <v>106</v>
      </c>
      <c r="D66" s="5" t="str">
        <f>IF(B66=C66,"Y","N")</f>
        <v>Y</v>
      </c>
      <c r="E66" s="19" t="s">
        <v>106</v>
      </c>
      <c r="F66" s="5" t="str">
        <f t="shared" si="0"/>
        <v>Y</v>
      </c>
      <c r="I66"/>
    </row>
    <row r="67" spans="1:9" x14ac:dyDescent="0.25">
      <c r="A67" s="10"/>
      <c r="B67" s="5" t="s">
        <v>110</v>
      </c>
      <c r="C67" s="5" t="s">
        <v>110</v>
      </c>
      <c r="D67" s="5" t="str">
        <f>IF(B67=C67,"Y","N")</f>
        <v>Y</v>
      </c>
      <c r="E67" s="19" t="s">
        <v>110</v>
      </c>
      <c r="F67" s="5" t="str">
        <f t="shared" si="0"/>
        <v>Y</v>
      </c>
      <c r="I67"/>
    </row>
    <row r="68" spans="1:9" x14ac:dyDescent="0.25">
      <c r="A68" s="10"/>
      <c r="B68" s="5" t="s">
        <v>111</v>
      </c>
      <c r="C68" s="5" t="s">
        <v>111</v>
      </c>
      <c r="D68" s="5" t="str">
        <f>IF(B68=C68,"Y","N")</f>
        <v>Y</v>
      </c>
      <c r="E68" s="19" t="s">
        <v>121</v>
      </c>
      <c r="F68" s="5" t="str">
        <f t="shared" ref="F68:F70" si="1">IF(C68=E68,"Y","N")</f>
        <v>N</v>
      </c>
    </row>
    <row r="69" spans="1:9" x14ac:dyDescent="0.25">
      <c r="A69" s="10"/>
      <c r="B69" s="5" t="s">
        <v>112</v>
      </c>
      <c r="C69" s="5" t="s">
        <v>112</v>
      </c>
      <c r="D69" s="5" t="str">
        <f>IF(B69=C69,"Y","N")</f>
        <v>Y</v>
      </c>
      <c r="E69" s="19" t="s">
        <v>122</v>
      </c>
      <c r="F69" s="5" t="str">
        <f t="shared" si="1"/>
        <v>N</v>
      </c>
    </row>
    <row r="70" spans="1:9" x14ac:dyDescent="0.25">
      <c r="A70" s="10"/>
      <c r="B70" s="5" t="s">
        <v>154</v>
      </c>
      <c r="C70" s="5" t="s">
        <v>154</v>
      </c>
      <c r="D70" s="5" t="str">
        <f>IF(B70=C70,"Y","N")</f>
        <v>Y</v>
      </c>
      <c r="E70" s="19" t="s">
        <v>154</v>
      </c>
      <c r="F70" s="5" t="str">
        <f t="shared" si="1"/>
        <v>Y</v>
      </c>
    </row>
  </sheetData>
  <autoFilter ref="A2:J70" xr:uid="{00000000-0001-0000-0600-000000000000}"/>
  <conditionalFormatting sqref="E1 D47 D48:E51 D52:D54 I49 D2:E46 D55:E1048576">
    <cfRule type="cellIs" dxfId="56" priority="3" operator="equal">
      <formula>"N"</formula>
    </cfRule>
  </conditionalFormatting>
  <conditionalFormatting sqref="G24">
    <cfRule type="cellIs" dxfId="55" priority="2" operator="equal">
      <formula>"N"</formula>
    </cfRule>
  </conditionalFormatting>
  <conditionalFormatting sqref="F3:F70">
    <cfRule type="cellIs" dxfId="54" priority="1" operator="equal">
      <formula>"N"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7" t="s">
        <v>1</v>
      </c>
    </row>
    <row r="2" spans="1:10" x14ac:dyDescent="0.25">
      <c r="A2" s="3" t="s">
        <v>333</v>
      </c>
      <c r="B2" s="12" t="s">
        <v>160</v>
      </c>
      <c r="C2" s="12" t="s">
        <v>162</v>
      </c>
      <c r="D2" s="5" t="s">
        <v>336</v>
      </c>
      <c r="E2" s="12" t="s">
        <v>161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19" t="s">
        <v>30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19" t="s">
        <v>32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36</v>
      </c>
      <c r="C19" s="5" t="s">
        <v>36</v>
      </c>
      <c r="D19" s="5" t="str">
        <f>IF(B19=C19,"Y","N")</f>
        <v>Y</v>
      </c>
      <c r="E19" s="19" t="s">
        <v>36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38</v>
      </c>
      <c r="C20" s="5" t="s">
        <v>38</v>
      </c>
      <c r="D20" s="5" t="str">
        <f>IF(B20=C20,"Y","N")</f>
        <v>Y</v>
      </c>
      <c r="E20" s="19" t="s">
        <v>38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42</v>
      </c>
      <c r="C21" s="5" t="s">
        <v>42</v>
      </c>
      <c r="D21" s="5" t="str">
        <f>IF(B21=C21,"Y","N")</f>
        <v>Y</v>
      </c>
      <c r="E21" s="19" t="s">
        <v>42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44</v>
      </c>
      <c r="C22" s="5" t="s">
        <v>44</v>
      </c>
      <c r="D22" s="5" t="str">
        <f>IF(B22=C22,"Y","N")</f>
        <v>Y</v>
      </c>
      <c r="E22" s="19" t="s">
        <v>44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45</v>
      </c>
      <c r="C23" s="5" t="s">
        <v>45</v>
      </c>
      <c r="D23" s="5" t="str">
        <f>IF(B23=C23,"Y","N")</f>
        <v>Y</v>
      </c>
      <c r="E23" s="6"/>
      <c r="F23" s="5" t="str">
        <f t="shared" si="0"/>
        <v>N</v>
      </c>
      <c r="G23" s="14" t="s">
        <v>341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46</v>
      </c>
      <c r="C24" s="5" t="s">
        <v>46</v>
      </c>
      <c r="D24" s="5" t="str">
        <f>IF(B24=C24,"Y","N")</f>
        <v>Y</v>
      </c>
      <c r="E24" s="19" t="s">
        <v>46</v>
      </c>
      <c r="F24" s="5" t="str">
        <f t="shared" si="0"/>
        <v>Y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47</v>
      </c>
      <c r="C25" s="5" t="s">
        <v>47</v>
      </c>
      <c r="D25" s="5" t="str">
        <f>IF(B25=C25,"Y","N")</f>
        <v>Y</v>
      </c>
      <c r="E25" s="19" t="s">
        <v>56</v>
      </c>
      <c r="F25" s="5" t="str">
        <f t="shared" si="0"/>
        <v>N</v>
      </c>
    </row>
    <row r="26" spans="1:10" x14ac:dyDescent="0.25">
      <c r="A26" s="10"/>
      <c r="B26" s="5" t="s">
        <v>48</v>
      </c>
      <c r="C26" s="5" t="s">
        <v>48</v>
      </c>
      <c r="D26" s="5" t="str">
        <f>IF(B26=C26,"Y","N")</f>
        <v>Y</v>
      </c>
      <c r="E26" s="19" t="s">
        <v>58</v>
      </c>
      <c r="F26" s="5" t="str">
        <f t="shared" si="0"/>
        <v>N</v>
      </c>
    </row>
    <row r="27" spans="1:10" x14ac:dyDescent="0.25">
      <c r="A27" s="10"/>
      <c r="B27" s="5" t="s">
        <v>49</v>
      </c>
      <c r="C27" s="5" t="s">
        <v>49</v>
      </c>
      <c r="D27" s="5" t="str">
        <f>IF(B27=C27,"Y","N")</f>
        <v>Y</v>
      </c>
      <c r="E27" s="19" t="s">
        <v>60</v>
      </c>
      <c r="F27" s="5" t="str">
        <f t="shared" si="0"/>
        <v>N</v>
      </c>
    </row>
    <row r="28" spans="1:10" x14ac:dyDescent="0.25">
      <c r="A28" s="10"/>
      <c r="B28" s="5" t="s">
        <v>50</v>
      </c>
      <c r="C28" s="5" t="s">
        <v>50</v>
      </c>
      <c r="D28" s="5" t="str">
        <f>IF(B28=C28,"Y","N")</f>
        <v>Y</v>
      </c>
      <c r="E28" s="19" t="s">
        <v>62</v>
      </c>
      <c r="F28" s="5" t="str">
        <f t="shared" si="0"/>
        <v>N</v>
      </c>
    </row>
    <row r="29" spans="1:10" x14ac:dyDescent="0.25">
      <c r="A29" s="10"/>
      <c r="B29" s="5" t="s">
        <v>51</v>
      </c>
      <c r="C29" s="5" t="s">
        <v>51</v>
      </c>
      <c r="D29" s="5" t="str">
        <f>IF(B29=C29,"Y","N")</f>
        <v>Y</v>
      </c>
      <c r="E29" s="19" t="s">
        <v>64</v>
      </c>
      <c r="F29" s="5" t="str">
        <f t="shared" si="0"/>
        <v>N</v>
      </c>
      <c r="I29"/>
    </row>
    <row r="30" spans="1:10" x14ac:dyDescent="0.25">
      <c r="A30" s="10"/>
      <c r="B30" s="5" t="s">
        <v>53</v>
      </c>
      <c r="C30" s="5" t="s">
        <v>53</v>
      </c>
      <c r="D30" s="5" t="str">
        <f>IF(B30=C30,"Y","N")</f>
        <v>Y</v>
      </c>
      <c r="E30" s="19" t="s">
        <v>66</v>
      </c>
      <c r="F30" s="5" t="str">
        <f t="shared" si="0"/>
        <v>N</v>
      </c>
    </row>
    <row r="31" spans="1:10" x14ac:dyDescent="0.25">
      <c r="A31" s="10"/>
      <c r="B31" s="5" t="s">
        <v>54</v>
      </c>
      <c r="C31" s="5" t="s">
        <v>54</v>
      </c>
      <c r="D31" s="5" t="str">
        <f>IF(B31=C31,"Y","N")</f>
        <v>Y</v>
      </c>
      <c r="E31" s="19" t="s">
        <v>68</v>
      </c>
      <c r="F31" s="5" t="str">
        <f t="shared" si="0"/>
        <v>N</v>
      </c>
    </row>
    <row r="32" spans="1:10" x14ac:dyDescent="0.25">
      <c r="A32" s="10"/>
      <c r="B32" s="5" t="s">
        <v>55</v>
      </c>
      <c r="C32" s="5" t="s">
        <v>55</v>
      </c>
      <c r="D32" s="5" t="str">
        <f>IF(B32=C32,"Y","N")</f>
        <v>Y</v>
      </c>
      <c r="E32" s="19" t="s">
        <v>70</v>
      </c>
      <c r="F32" s="5" t="str">
        <f t="shared" si="0"/>
        <v>N</v>
      </c>
    </row>
    <row r="33" spans="1:9" x14ac:dyDescent="0.25">
      <c r="A33" s="10"/>
      <c r="B33" s="5" t="s">
        <v>57</v>
      </c>
      <c r="C33" s="5" t="s">
        <v>57</v>
      </c>
      <c r="D33" s="5" t="str">
        <f>IF(B33=C33,"Y","N")</f>
        <v>Y</v>
      </c>
      <c r="E33" s="19" t="s">
        <v>72</v>
      </c>
      <c r="F33" s="5" t="str">
        <f t="shared" si="0"/>
        <v>N</v>
      </c>
    </row>
    <row r="34" spans="1:9" x14ac:dyDescent="0.25">
      <c r="A34" s="10"/>
      <c r="B34" s="5" t="s">
        <v>59</v>
      </c>
      <c r="C34" s="5" t="s">
        <v>59</v>
      </c>
      <c r="D34" s="5" t="str">
        <f>IF(B34=C34,"Y","N")</f>
        <v>Y</v>
      </c>
      <c r="E34" s="19" t="s">
        <v>74</v>
      </c>
      <c r="F34" s="5" t="str">
        <f t="shared" si="0"/>
        <v>N</v>
      </c>
    </row>
    <row r="35" spans="1:9" x14ac:dyDescent="0.25">
      <c r="A35" s="10"/>
      <c r="B35" s="5" t="s">
        <v>61</v>
      </c>
      <c r="C35" s="5" t="s">
        <v>61</v>
      </c>
      <c r="D35" s="5" t="str">
        <f>IF(B35=C35,"Y","N")</f>
        <v>Y</v>
      </c>
      <c r="E35" s="19" t="s">
        <v>76</v>
      </c>
      <c r="F35" s="5" t="str">
        <f t="shared" si="0"/>
        <v>N</v>
      </c>
    </row>
    <row r="36" spans="1:9" x14ac:dyDescent="0.25">
      <c r="A36" s="10"/>
      <c r="B36" s="5" t="s">
        <v>63</v>
      </c>
      <c r="C36" s="5" t="s">
        <v>63</v>
      </c>
      <c r="D36" s="5" t="str">
        <f>IF(B36=C36,"Y","N")</f>
        <v>Y</v>
      </c>
      <c r="E36" s="19" t="s">
        <v>78</v>
      </c>
      <c r="F36" s="5" t="str">
        <f t="shared" si="0"/>
        <v>N</v>
      </c>
    </row>
    <row r="37" spans="1:9" x14ac:dyDescent="0.25">
      <c r="A37" s="10"/>
      <c r="B37" s="5" t="s">
        <v>65</v>
      </c>
      <c r="C37" s="5" t="s">
        <v>65</v>
      </c>
      <c r="D37" s="5" t="str">
        <f>IF(B37=C37,"Y","N")</f>
        <v>Y</v>
      </c>
      <c r="E37" s="19" t="s">
        <v>80</v>
      </c>
      <c r="F37" s="5" t="str">
        <f t="shared" si="0"/>
        <v>N</v>
      </c>
    </row>
    <row r="38" spans="1:9" x14ac:dyDescent="0.25">
      <c r="A38" s="10"/>
      <c r="B38" s="5" t="s">
        <v>67</v>
      </c>
      <c r="C38" s="5" t="s">
        <v>67</v>
      </c>
      <c r="D38" s="5" t="str">
        <f>IF(B38=C38,"Y","N")</f>
        <v>Y</v>
      </c>
      <c r="E38" s="19" t="s">
        <v>82</v>
      </c>
      <c r="F38" s="5" t="str">
        <f t="shared" si="0"/>
        <v>N</v>
      </c>
    </row>
    <row r="39" spans="1:9" x14ac:dyDescent="0.25">
      <c r="A39" s="10"/>
      <c r="B39" s="5" t="s">
        <v>69</v>
      </c>
      <c r="C39" s="5" t="s">
        <v>69</v>
      </c>
      <c r="D39" s="5" t="str">
        <f>IF(B39=C39,"Y","N")</f>
        <v>Y</v>
      </c>
      <c r="E39" s="19" t="s">
        <v>84</v>
      </c>
      <c r="F39" s="5" t="str">
        <f t="shared" si="0"/>
        <v>N</v>
      </c>
    </row>
    <row r="40" spans="1:9" x14ac:dyDescent="0.25">
      <c r="A40" s="10"/>
      <c r="B40" s="5" t="s">
        <v>71</v>
      </c>
      <c r="C40" s="5" t="s">
        <v>71</v>
      </c>
      <c r="D40" s="5" t="str">
        <f>IF(B40=C40,"Y","N")</f>
        <v>Y</v>
      </c>
      <c r="E40" s="19" t="s">
        <v>71</v>
      </c>
      <c r="F40" s="5" t="str">
        <f t="shared" si="0"/>
        <v>Y</v>
      </c>
    </row>
    <row r="41" spans="1:9" x14ac:dyDescent="0.25">
      <c r="A41" s="10"/>
      <c r="B41" s="5" t="s">
        <v>73</v>
      </c>
      <c r="C41" s="5" t="s">
        <v>73</v>
      </c>
      <c r="D41" s="5" t="str">
        <f>IF(B41=C41,"Y","N")</f>
        <v>Y</v>
      </c>
      <c r="E41" s="19" t="s">
        <v>73</v>
      </c>
      <c r="F41" s="5" t="str">
        <f t="shared" si="0"/>
        <v>Y</v>
      </c>
    </row>
    <row r="42" spans="1:9" x14ac:dyDescent="0.25">
      <c r="A42" s="10"/>
      <c r="B42" s="5" t="s">
        <v>75</v>
      </c>
      <c r="C42" s="5" t="s">
        <v>75</v>
      </c>
      <c r="D42" s="5" t="str">
        <f>IF(B42=C42,"Y","N")</f>
        <v>Y</v>
      </c>
      <c r="E42" s="19" t="s">
        <v>75</v>
      </c>
      <c r="F42" s="5" t="str">
        <f t="shared" si="0"/>
        <v>Y</v>
      </c>
    </row>
    <row r="43" spans="1:9" x14ac:dyDescent="0.25">
      <c r="A43" s="10"/>
      <c r="B43" s="5" t="s">
        <v>77</v>
      </c>
      <c r="C43" s="5" t="s">
        <v>77</v>
      </c>
      <c r="D43" s="5" t="str">
        <f>IF(B43=C43,"Y","N")</f>
        <v>Y</v>
      </c>
      <c r="E43" s="19" t="s">
        <v>77</v>
      </c>
      <c r="F43" s="5" t="str">
        <f t="shared" si="0"/>
        <v>Y</v>
      </c>
    </row>
    <row r="44" spans="1:9" x14ac:dyDescent="0.25">
      <c r="A44" s="10"/>
      <c r="B44" s="5" t="s">
        <v>79</v>
      </c>
      <c r="C44" s="5" t="s">
        <v>79</v>
      </c>
      <c r="D44" s="5" t="str">
        <f>IF(B44=C44,"Y","N")</f>
        <v>Y</v>
      </c>
      <c r="E44" s="19" t="s">
        <v>79</v>
      </c>
      <c r="F44" s="5" t="str">
        <f t="shared" si="0"/>
        <v>Y</v>
      </c>
    </row>
    <row r="45" spans="1:9" x14ac:dyDescent="0.25">
      <c r="A45" s="10"/>
      <c r="B45" s="5" t="s">
        <v>81</v>
      </c>
      <c r="C45" s="5" t="s">
        <v>81</v>
      </c>
      <c r="D45" s="5" t="str">
        <f>IF(B45=C45,"Y","N")</f>
        <v>Y</v>
      </c>
      <c r="E45" s="19" t="s">
        <v>81</v>
      </c>
      <c r="F45" s="5" t="str">
        <f t="shared" si="0"/>
        <v>Y</v>
      </c>
    </row>
    <row r="46" spans="1:9" x14ac:dyDescent="0.25">
      <c r="A46" s="10"/>
      <c r="B46" s="5" t="s">
        <v>83</v>
      </c>
      <c r="C46" s="5" t="s">
        <v>83</v>
      </c>
      <c r="D46" s="5" t="str">
        <f>IF(B46=C46,"Y","N")</f>
        <v>Y</v>
      </c>
      <c r="E46" s="19" t="s">
        <v>83</v>
      </c>
      <c r="F46" s="5" t="str">
        <f t="shared" si="0"/>
        <v>Y</v>
      </c>
    </row>
    <row r="47" spans="1:9" x14ac:dyDescent="0.25">
      <c r="A47" s="10"/>
      <c r="B47" s="5" t="s">
        <v>85</v>
      </c>
      <c r="C47" s="5" t="s">
        <v>85</v>
      </c>
      <c r="D47" s="5" t="str">
        <f>IF(B47=C47,"Y","N")</f>
        <v>Y</v>
      </c>
      <c r="E47" s="19" t="s">
        <v>85</v>
      </c>
      <c r="F47" s="5" t="str">
        <f t="shared" si="0"/>
        <v>Y</v>
      </c>
    </row>
    <row r="48" spans="1:9" x14ac:dyDescent="0.25">
      <c r="A48" s="10"/>
      <c r="B48" s="5" t="s">
        <v>86</v>
      </c>
      <c r="C48" s="5" t="s">
        <v>86</v>
      </c>
      <c r="D48" s="5" t="str">
        <f>IF(B48=C48,"Y","N")</f>
        <v>Y</v>
      </c>
      <c r="E48" s="19" t="s">
        <v>86</v>
      </c>
      <c r="F48" s="5" t="str">
        <f t="shared" si="0"/>
        <v>Y</v>
      </c>
      <c r="I48"/>
    </row>
    <row r="49" spans="1:9" x14ac:dyDescent="0.25">
      <c r="A49" s="10"/>
      <c r="B49" s="5" t="s">
        <v>88</v>
      </c>
      <c r="C49" s="5" t="s">
        <v>88</v>
      </c>
      <c r="D49" s="5" t="str">
        <f>IF(B49=C49,"Y","N")</f>
        <v>Y</v>
      </c>
      <c r="E49" s="19" t="s">
        <v>88</v>
      </c>
      <c r="F49" s="5" t="str">
        <f t="shared" si="0"/>
        <v>Y</v>
      </c>
    </row>
    <row r="50" spans="1:9" x14ac:dyDescent="0.25">
      <c r="A50" s="10"/>
      <c r="B50" s="5" t="s">
        <v>89</v>
      </c>
      <c r="C50" s="5" t="s">
        <v>89</v>
      </c>
      <c r="D50" s="5" t="str">
        <f>IF(B50=C50,"Y","N")</f>
        <v>Y</v>
      </c>
      <c r="E50" s="19" t="s">
        <v>89</v>
      </c>
      <c r="F50" s="5" t="str">
        <f t="shared" si="0"/>
        <v>Y</v>
      </c>
    </row>
    <row r="51" spans="1:9" x14ac:dyDescent="0.25">
      <c r="A51" s="10"/>
      <c r="B51" s="5" t="s">
        <v>90</v>
      </c>
      <c r="C51" s="5" t="s">
        <v>90</v>
      </c>
      <c r="D51" s="5" t="str">
        <f>IF(B51=C51,"Y","N")</f>
        <v>Y</v>
      </c>
      <c r="E51" s="19" t="s">
        <v>90</v>
      </c>
      <c r="F51" s="5" t="str">
        <f t="shared" si="0"/>
        <v>Y</v>
      </c>
    </row>
    <row r="52" spans="1:9" x14ac:dyDescent="0.25">
      <c r="A52" s="10"/>
      <c r="B52" s="5" t="s">
        <v>91</v>
      </c>
      <c r="C52" s="5" t="s">
        <v>91</v>
      </c>
      <c r="D52" s="5" t="str">
        <f>IF(B52=C52,"Y","N")</f>
        <v>Y</v>
      </c>
      <c r="E52" s="19" t="s">
        <v>91</v>
      </c>
      <c r="F52" s="5" t="str">
        <f t="shared" si="0"/>
        <v>Y</v>
      </c>
    </row>
    <row r="53" spans="1:9" x14ac:dyDescent="0.25">
      <c r="A53" s="10"/>
      <c r="B53" s="5" t="s">
        <v>92</v>
      </c>
      <c r="C53" s="5" t="s">
        <v>92</v>
      </c>
      <c r="D53" s="5" t="str">
        <f>IF(B53=C53,"Y","N")</f>
        <v>Y</v>
      </c>
      <c r="E53" s="19" t="s">
        <v>92</v>
      </c>
      <c r="F53" s="5" t="str">
        <f t="shared" si="0"/>
        <v>Y</v>
      </c>
    </row>
    <row r="54" spans="1:9" x14ac:dyDescent="0.25">
      <c r="A54" s="10"/>
      <c r="B54" s="5" t="s">
        <v>93</v>
      </c>
      <c r="C54" s="5" t="s">
        <v>93</v>
      </c>
      <c r="D54" s="5" t="str">
        <f>IF(B54=C54,"Y","N")</f>
        <v>Y</v>
      </c>
      <c r="E54" s="19" t="s">
        <v>93</v>
      </c>
      <c r="F54" s="5" t="str">
        <f t="shared" si="0"/>
        <v>Y</v>
      </c>
      <c r="I54"/>
    </row>
    <row r="55" spans="1:9" x14ac:dyDescent="0.25">
      <c r="A55" s="10"/>
      <c r="B55" s="5" t="s">
        <v>95</v>
      </c>
      <c r="C55" s="5" t="s">
        <v>95</v>
      </c>
      <c r="D55" s="5" t="str">
        <f>IF(B55=C55,"Y","N")</f>
        <v>Y</v>
      </c>
      <c r="E55" s="19" t="s">
        <v>95</v>
      </c>
      <c r="F55" s="5" t="str">
        <f t="shared" si="0"/>
        <v>Y</v>
      </c>
    </row>
    <row r="56" spans="1:9" x14ac:dyDescent="0.25">
      <c r="A56" s="10"/>
      <c r="B56" s="5" t="s">
        <v>96</v>
      </c>
      <c r="C56" s="5" t="s">
        <v>96</v>
      </c>
      <c r="D56" s="5" t="str">
        <f>IF(B56=C56,"Y","N")</f>
        <v>Y</v>
      </c>
      <c r="E56" s="19" t="s">
        <v>96</v>
      </c>
      <c r="F56" s="5" t="str">
        <f t="shared" si="0"/>
        <v>Y</v>
      </c>
    </row>
    <row r="57" spans="1:9" x14ac:dyDescent="0.25">
      <c r="A57" s="10"/>
      <c r="B57" s="5" t="s">
        <v>97</v>
      </c>
      <c r="C57" s="5" t="s">
        <v>97</v>
      </c>
      <c r="D57" s="5" t="str">
        <f>IF(B57=C57,"Y","N")</f>
        <v>Y</v>
      </c>
      <c r="E57" s="19" t="s">
        <v>97</v>
      </c>
      <c r="F57" s="5" t="str">
        <f t="shared" si="0"/>
        <v>Y</v>
      </c>
    </row>
    <row r="58" spans="1:9" x14ac:dyDescent="0.25">
      <c r="A58" s="10"/>
      <c r="B58" s="5" t="s">
        <v>98</v>
      </c>
      <c r="C58" s="5" t="s">
        <v>98</v>
      </c>
      <c r="D58" s="5" t="str">
        <f>IF(B58=C58,"Y","N")</f>
        <v>Y</v>
      </c>
      <c r="E58" s="19" t="s">
        <v>98</v>
      </c>
      <c r="F58" s="5" t="str">
        <f t="shared" si="0"/>
        <v>Y</v>
      </c>
      <c r="I58"/>
    </row>
    <row r="59" spans="1:9" x14ac:dyDescent="0.25">
      <c r="A59" s="10"/>
      <c r="B59" s="5" t="s">
        <v>100</v>
      </c>
      <c r="C59" s="5" t="s">
        <v>100</v>
      </c>
      <c r="D59" s="5" t="str">
        <f>IF(B59=C59,"Y","N")</f>
        <v>Y</v>
      </c>
      <c r="E59" s="19" t="s">
        <v>100</v>
      </c>
      <c r="F59" s="5" t="str">
        <f t="shared" si="0"/>
        <v>Y</v>
      </c>
    </row>
    <row r="60" spans="1:9" x14ac:dyDescent="0.25">
      <c r="A60" s="10"/>
      <c r="B60" s="5" t="s">
        <v>101</v>
      </c>
      <c r="C60" s="5" t="s">
        <v>101</v>
      </c>
      <c r="D60" s="5" t="str">
        <f>IF(B60=C60,"Y","N")</f>
        <v>Y</v>
      </c>
      <c r="E60" s="19" t="s">
        <v>101</v>
      </c>
      <c r="F60" s="5" t="str">
        <f t="shared" si="0"/>
        <v>Y</v>
      </c>
    </row>
    <row r="61" spans="1:9" x14ac:dyDescent="0.25">
      <c r="A61" s="10"/>
      <c r="B61" s="5" t="s">
        <v>102</v>
      </c>
      <c r="C61" s="5" t="s">
        <v>102</v>
      </c>
      <c r="D61" s="5" t="str">
        <f>IF(B61=C61,"Y","N")</f>
        <v>Y</v>
      </c>
      <c r="E61" s="19" t="s">
        <v>102</v>
      </c>
      <c r="F61" s="5" t="str">
        <f t="shared" si="0"/>
        <v>Y</v>
      </c>
    </row>
    <row r="62" spans="1:9" x14ac:dyDescent="0.25">
      <c r="A62" s="10"/>
      <c r="B62" s="5" t="s">
        <v>103</v>
      </c>
      <c r="C62" s="5" t="s">
        <v>103</v>
      </c>
      <c r="D62" s="5" t="str">
        <f>IF(B62=C62,"Y","N")</f>
        <v>Y</v>
      </c>
      <c r="E62" s="19" t="s">
        <v>103</v>
      </c>
      <c r="F62" s="5" t="str">
        <f t="shared" si="0"/>
        <v>Y</v>
      </c>
      <c r="I62"/>
    </row>
    <row r="63" spans="1:9" x14ac:dyDescent="0.25">
      <c r="A63" s="10"/>
      <c r="B63" s="5" t="s">
        <v>105</v>
      </c>
      <c r="C63" s="5" t="s">
        <v>105</v>
      </c>
      <c r="D63" s="5" t="str">
        <f>IF(B63=C63,"Y","N")</f>
        <v>Y</v>
      </c>
      <c r="E63" s="19" t="s">
        <v>105</v>
      </c>
      <c r="F63" s="5" t="str">
        <f t="shared" si="0"/>
        <v>Y</v>
      </c>
    </row>
    <row r="64" spans="1:9" x14ac:dyDescent="0.25">
      <c r="A64" s="10"/>
      <c r="B64" s="5" t="s">
        <v>106</v>
      </c>
      <c r="C64" s="5" t="s">
        <v>106</v>
      </c>
      <c r="D64" s="5" t="str">
        <f>IF(B64=C64,"Y","N")</f>
        <v>Y</v>
      </c>
      <c r="E64" s="19" t="s">
        <v>106</v>
      </c>
      <c r="F64" s="5" t="str">
        <f t="shared" si="0"/>
        <v>Y</v>
      </c>
      <c r="I64"/>
    </row>
    <row r="65" spans="1:9" x14ac:dyDescent="0.25">
      <c r="A65" s="10"/>
      <c r="B65" s="5" t="s">
        <v>110</v>
      </c>
      <c r="C65" s="5" t="s">
        <v>110</v>
      </c>
      <c r="D65" s="5" t="str">
        <f>IF(B65=C65,"Y","N")</f>
        <v>Y</v>
      </c>
      <c r="E65" s="19" t="s">
        <v>110</v>
      </c>
      <c r="F65" s="5" t="str">
        <f t="shared" si="0"/>
        <v>Y</v>
      </c>
      <c r="I65"/>
    </row>
    <row r="66" spans="1:9" x14ac:dyDescent="0.25">
      <c r="A66" s="10"/>
      <c r="B66" s="5" t="s">
        <v>111</v>
      </c>
      <c r="C66" s="5" t="s">
        <v>111</v>
      </c>
      <c r="D66" s="5" t="str">
        <f>IF(B66=C66,"Y","N")</f>
        <v>Y</v>
      </c>
      <c r="E66" s="19" t="s">
        <v>121</v>
      </c>
      <c r="F66" s="5" t="str">
        <f t="shared" si="0"/>
        <v>N</v>
      </c>
    </row>
    <row r="67" spans="1:9" x14ac:dyDescent="0.25">
      <c r="A67" s="10"/>
      <c r="B67" s="5" t="s">
        <v>112</v>
      </c>
      <c r="C67" s="5" t="s">
        <v>112</v>
      </c>
      <c r="D67" s="5" t="str">
        <f>IF(B67=C67,"Y","N")</f>
        <v>Y</v>
      </c>
      <c r="E67" s="19" t="s">
        <v>122</v>
      </c>
      <c r="F67" s="5" t="str">
        <f t="shared" si="0"/>
        <v>N</v>
      </c>
    </row>
    <row r="68" spans="1:9" x14ac:dyDescent="0.25">
      <c r="A68" s="10"/>
      <c r="B68" s="5" t="s">
        <v>154</v>
      </c>
      <c r="C68" s="5" t="s">
        <v>154</v>
      </c>
      <c r="D68" s="5" t="str">
        <f>IF(B68=C68,"Y","N")</f>
        <v>Y</v>
      </c>
      <c r="E68" s="19" t="s">
        <v>154</v>
      </c>
      <c r="F68" s="5" t="str">
        <f t="shared" ref="F68" si="1">IF(C68=E68,"Y","N")</f>
        <v>Y</v>
      </c>
    </row>
  </sheetData>
  <autoFilter ref="A2:J68" xr:uid="{00000000-0001-0000-0700-000000000000}"/>
  <conditionalFormatting sqref="E1 D47 D48:E51 D2:E46 D52:D54 E52 D55:E1048576">
    <cfRule type="cellIs" dxfId="53" priority="3" operator="equal">
      <formula>"N"</formula>
    </cfRule>
  </conditionalFormatting>
  <conditionalFormatting sqref="G23">
    <cfRule type="cellIs" dxfId="52" priority="2" operator="equal">
      <formula>"N"</formula>
    </cfRule>
  </conditionalFormatting>
  <conditionalFormatting sqref="F3:F68">
    <cfRule type="cellIs" dxfId="51" priority="1" operator="equal">
      <formula>"N"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" style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163</v>
      </c>
      <c r="C2" s="12" t="s">
        <v>165</v>
      </c>
      <c r="D2" s="5" t="s">
        <v>336</v>
      </c>
      <c r="E2" s="12" t="s">
        <v>164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19" t="s">
        <v>30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19" t="s">
        <v>32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36</v>
      </c>
      <c r="C19" s="5" t="s">
        <v>36</v>
      </c>
      <c r="D19" s="5" t="str">
        <f>IF(B19=C19,"Y","N")</f>
        <v>Y</v>
      </c>
      <c r="E19" s="19" t="s">
        <v>36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38</v>
      </c>
      <c r="C20" s="5" t="s">
        <v>38</v>
      </c>
      <c r="D20" s="5" t="str">
        <f>IF(B20=C20,"Y","N")</f>
        <v>Y</v>
      </c>
      <c r="E20" s="19" t="s">
        <v>38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42</v>
      </c>
      <c r="C21" s="5" t="s">
        <v>42</v>
      </c>
      <c r="D21" s="5" t="str">
        <f>IF(B21=C21,"Y","N")</f>
        <v>Y</v>
      </c>
      <c r="E21" s="19" t="s">
        <v>42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44</v>
      </c>
      <c r="C22" s="5" t="s">
        <v>44</v>
      </c>
      <c r="D22" s="5" t="str">
        <f>IF(B22=C22,"Y","N")</f>
        <v>Y</v>
      </c>
      <c r="E22" s="19" t="s">
        <v>44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45</v>
      </c>
      <c r="C23" s="5" t="s">
        <v>45</v>
      </c>
      <c r="D23" s="5" t="str">
        <f>IF(B23=C23,"Y","N")</f>
        <v>Y</v>
      </c>
      <c r="E23" s="6"/>
      <c r="F23" s="5" t="str">
        <f t="shared" si="0"/>
        <v>N</v>
      </c>
      <c r="G23" s="14" t="s">
        <v>341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46</v>
      </c>
      <c r="C24" s="5" t="s">
        <v>46</v>
      </c>
      <c r="D24" s="5" t="str">
        <f>IF(B24=C24,"Y","N")</f>
        <v>Y</v>
      </c>
      <c r="E24" s="19" t="s">
        <v>46</v>
      </c>
      <c r="F24" s="5" t="str">
        <f t="shared" si="0"/>
        <v>Y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47</v>
      </c>
      <c r="C25" s="5" t="s">
        <v>47</v>
      </c>
      <c r="D25" s="5" t="str">
        <f>IF(B25=C25,"Y","N")</f>
        <v>Y</v>
      </c>
      <c r="E25" s="19" t="s">
        <v>56</v>
      </c>
      <c r="F25" s="5" t="str">
        <f t="shared" si="0"/>
        <v>N</v>
      </c>
    </row>
    <row r="26" spans="1:10" x14ac:dyDescent="0.25">
      <c r="A26" s="10"/>
      <c r="B26" s="5" t="s">
        <v>48</v>
      </c>
      <c r="C26" s="5" t="s">
        <v>48</v>
      </c>
      <c r="D26" s="5" t="str">
        <f>IF(B26=C26,"Y","N")</f>
        <v>Y</v>
      </c>
      <c r="E26" s="19" t="s">
        <v>58</v>
      </c>
      <c r="F26" s="5" t="str">
        <f t="shared" si="0"/>
        <v>N</v>
      </c>
    </row>
    <row r="27" spans="1:10" x14ac:dyDescent="0.25">
      <c r="A27" s="10"/>
      <c r="B27" s="5" t="s">
        <v>49</v>
      </c>
      <c r="C27" s="5" t="s">
        <v>49</v>
      </c>
      <c r="D27" s="5" t="str">
        <f>IF(B27=C27,"Y","N")</f>
        <v>Y</v>
      </c>
      <c r="E27" s="19" t="s">
        <v>60</v>
      </c>
      <c r="F27" s="5" t="str">
        <f t="shared" si="0"/>
        <v>N</v>
      </c>
    </row>
    <row r="28" spans="1:10" x14ac:dyDescent="0.25">
      <c r="A28" s="10"/>
      <c r="B28" s="5" t="s">
        <v>50</v>
      </c>
      <c r="C28" s="5" t="s">
        <v>50</v>
      </c>
      <c r="D28" s="5" t="str">
        <f>IF(B28=C28,"Y","N")</f>
        <v>Y</v>
      </c>
      <c r="E28" s="19" t="s">
        <v>62</v>
      </c>
      <c r="F28" s="5" t="str">
        <f t="shared" si="0"/>
        <v>N</v>
      </c>
    </row>
    <row r="29" spans="1:10" x14ac:dyDescent="0.25">
      <c r="A29" s="10"/>
      <c r="B29" s="5" t="s">
        <v>51</v>
      </c>
      <c r="C29" s="5" t="s">
        <v>51</v>
      </c>
      <c r="D29" s="5" t="str">
        <f>IF(B29=C29,"Y","N")</f>
        <v>Y</v>
      </c>
      <c r="E29" s="19" t="s">
        <v>64</v>
      </c>
      <c r="F29" s="5" t="str">
        <f t="shared" si="0"/>
        <v>N</v>
      </c>
      <c r="I29"/>
    </row>
    <row r="30" spans="1:10" x14ac:dyDescent="0.25">
      <c r="A30" s="10"/>
      <c r="B30" s="5" t="s">
        <v>53</v>
      </c>
      <c r="C30" s="5" t="s">
        <v>53</v>
      </c>
      <c r="D30" s="5" t="str">
        <f>IF(B30=C30,"Y","N")</f>
        <v>Y</v>
      </c>
      <c r="E30" s="19" t="s">
        <v>66</v>
      </c>
      <c r="F30" s="5" t="str">
        <f t="shared" si="0"/>
        <v>N</v>
      </c>
    </row>
    <row r="31" spans="1:10" x14ac:dyDescent="0.25">
      <c r="A31" s="10"/>
      <c r="B31" s="5" t="s">
        <v>54</v>
      </c>
      <c r="C31" s="5" t="s">
        <v>54</v>
      </c>
      <c r="D31" s="5" t="str">
        <f>IF(B31=C31,"Y","N")</f>
        <v>Y</v>
      </c>
      <c r="E31" s="19" t="s">
        <v>68</v>
      </c>
      <c r="F31" s="5" t="str">
        <f t="shared" si="0"/>
        <v>N</v>
      </c>
    </row>
    <row r="32" spans="1:10" x14ac:dyDescent="0.25">
      <c r="A32" s="10"/>
      <c r="B32" s="5" t="s">
        <v>55</v>
      </c>
      <c r="C32" s="5" t="s">
        <v>55</v>
      </c>
      <c r="D32" s="5" t="str">
        <f>IF(B32=C32,"Y","N")</f>
        <v>Y</v>
      </c>
      <c r="E32" s="19" t="s">
        <v>70</v>
      </c>
      <c r="F32" s="5" t="str">
        <f t="shared" si="0"/>
        <v>N</v>
      </c>
    </row>
    <row r="33" spans="1:9" x14ac:dyDescent="0.25">
      <c r="A33" s="10"/>
      <c r="B33" s="5" t="s">
        <v>57</v>
      </c>
      <c r="C33" s="5" t="s">
        <v>57</v>
      </c>
      <c r="D33" s="5" t="str">
        <f>IF(B33=C33,"Y","N")</f>
        <v>Y</v>
      </c>
      <c r="E33" s="19" t="s">
        <v>72</v>
      </c>
      <c r="F33" s="5" t="str">
        <f t="shared" si="0"/>
        <v>N</v>
      </c>
    </row>
    <row r="34" spans="1:9" x14ac:dyDescent="0.25">
      <c r="A34" s="10"/>
      <c r="B34" s="5" t="s">
        <v>59</v>
      </c>
      <c r="C34" s="5" t="s">
        <v>59</v>
      </c>
      <c r="D34" s="5" t="str">
        <f>IF(B34=C34,"Y","N")</f>
        <v>Y</v>
      </c>
      <c r="E34" s="19" t="s">
        <v>74</v>
      </c>
      <c r="F34" s="5" t="str">
        <f t="shared" si="0"/>
        <v>N</v>
      </c>
    </row>
    <row r="35" spans="1:9" x14ac:dyDescent="0.25">
      <c r="A35" s="10"/>
      <c r="B35" s="5" t="s">
        <v>61</v>
      </c>
      <c r="C35" s="5" t="s">
        <v>61</v>
      </c>
      <c r="D35" s="5" t="str">
        <f>IF(B35=C35,"Y","N")</f>
        <v>Y</v>
      </c>
      <c r="E35" s="19" t="s">
        <v>76</v>
      </c>
      <c r="F35" s="5" t="str">
        <f t="shared" si="0"/>
        <v>N</v>
      </c>
    </row>
    <row r="36" spans="1:9" x14ac:dyDescent="0.25">
      <c r="A36" s="10"/>
      <c r="B36" s="5" t="s">
        <v>63</v>
      </c>
      <c r="C36" s="5" t="s">
        <v>63</v>
      </c>
      <c r="D36" s="5" t="str">
        <f>IF(B36=C36,"Y","N")</f>
        <v>Y</v>
      </c>
      <c r="E36" s="19" t="s">
        <v>78</v>
      </c>
      <c r="F36" s="5" t="str">
        <f t="shared" si="0"/>
        <v>N</v>
      </c>
    </row>
    <row r="37" spans="1:9" x14ac:dyDescent="0.25">
      <c r="A37" s="10"/>
      <c r="B37" s="5" t="s">
        <v>65</v>
      </c>
      <c r="C37" s="5" t="s">
        <v>65</v>
      </c>
      <c r="D37" s="5" t="str">
        <f>IF(B37=C37,"Y","N")</f>
        <v>Y</v>
      </c>
      <c r="E37" s="19" t="s">
        <v>80</v>
      </c>
      <c r="F37" s="5" t="str">
        <f t="shared" si="0"/>
        <v>N</v>
      </c>
    </row>
    <row r="38" spans="1:9" x14ac:dyDescent="0.25">
      <c r="A38" s="10"/>
      <c r="B38" s="5" t="s">
        <v>67</v>
      </c>
      <c r="C38" s="5" t="s">
        <v>67</v>
      </c>
      <c r="D38" s="5" t="str">
        <f>IF(B38=C38,"Y","N")</f>
        <v>Y</v>
      </c>
      <c r="E38" s="19" t="s">
        <v>82</v>
      </c>
      <c r="F38" s="5" t="str">
        <f t="shared" si="0"/>
        <v>N</v>
      </c>
    </row>
    <row r="39" spans="1:9" x14ac:dyDescent="0.25">
      <c r="A39" s="10"/>
      <c r="B39" s="5" t="s">
        <v>69</v>
      </c>
      <c r="C39" s="5" t="s">
        <v>69</v>
      </c>
      <c r="D39" s="5" t="str">
        <f>IF(B39=C39,"Y","N")</f>
        <v>Y</v>
      </c>
      <c r="E39" s="19" t="s">
        <v>84</v>
      </c>
      <c r="F39" s="5" t="str">
        <f t="shared" si="0"/>
        <v>N</v>
      </c>
    </row>
    <row r="40" spans="1:9" x14ac:dyDescent="0.25">
      <c r="A40" s="10"/>
      <c r="B40" s="5" t="s">
        <v>71</v>
      </c>
      <c r="C40" s="5" t="s">
        <v>71</v>
      </c>
      <c r="D40" s="5" t="str">
        <f>IF(B40=C40,"Y","N")</f>
        <v>Y</v>
      </c>
      <c r="E40" s="19" t="s">
        <v>71</v>
      </c>
      <c r="F40" s="5" t="str">
        <f t="shared" si="0"/>
        <v>Y</v>
      </c>
    </row>
    <row r="41" spans="1:9" x14ac:dyDescent="0.25">
      <c r="A41" s="10"/>
      <c r="B41" s="5" t="s">
        <v>73</v>
      </c>
      <c r="C41" s="5" t="s">
        <v>73</v>
      </c>
      <c r="D41" s="5" t="str">
        <f>IF(B41=C41,"Y","N")</f>
        <v>Y</v>
      </c>
      <c r="E41" s="19" t="s">
        <v>73</v>
      </c>
      <c r="F41" s="5" t="str">
        <f t="shared" si="0"/>
        <v>Y</v>
      </c>
    </row>
    <row r="42" spans="1:9" x14ac:dyDescent="0.25">
      <c r="A42" s="10"/>
      <c r="B42" s="5" t="s">
        <v>75</v>
      </c>
      <c r="C42" s="5" t="s">
        <v>75</v>
      </c>
      <c r="D42" s="5" t="str">
        <f>IF(B42=C42,"Y","N")</f>
        <v>Y</v>
      </c>
      <c r="E42" s="19" t="s">
        <v>75</v>
      </c>
      <c r="F42" s="5" t="str">
        <f t="shared" si="0"/>
        <v>Y</v>
      </c>
    </row>
    <row r="43" spans="1:9" x14ac:dyDescent="0.25">
      <c r="A43" s="10"/>
      <c r="B43" s="5" t="s">
        <v>77</v>
      </c>
      <c r="C43" s="5" t="s">
        <v>77</v>
      </c>
      <c r="D43" s="5" t="str">
        <f>IF(B43=C43,"Y","N")</f>
        <v>Y</v>
      </c>
      <c r="E43" s="19" t="s">
        <v>77</v>
      </c>
      <c r="F43" s="5" t="str">
        <f t="shared" si="0"/>
        <v>Y</v>
      </c>
    </row>
    <row r="44" spans="1:9" x14ac:dyDescent="0.25">
      <c r="A44" s="10"/>
      <c r="B44" s="5" t="s">
        <v>79</v>
      </c>
      <c r="C44" s="5" t="s">
        <v>79</v>
      </c>
      <c r="D44" s="5" t="str">
        <f>IF(B44=C44,"Y","N")</f>
        <v>Y</v>
      </c>
      <c r="E44" s="19" t="s">
        <v>79</v>
      </c>
      <c r="F44" s="5" t="str">
        <f t="shared" si="0"/>
        <v>Y</v>
      </c>
    </row>
    <row r="45" spans="1:9" x14ac:dyDescent="0.25">
      <c r="A45" s="10"/>
      <c r="B45" s="5" t="s">
        <v>81</v>
      </c>
      <c r="C45" s="5" t="s">
        <v>81</v>
      </c>
      <c r="D45" s="5" t="str">
        <f>IF(B45=C45,"Y","N")</f>
        <v>Y</v>
      </c>
      <c r="E45" s="19" t="s">
        <v>81</v>
      </c>
      <c r="F45" s="5" t="str">
        <f t="shared" si="0"/>
        <v>Y</v>
      </c>
    </row>
    <row r="46" spans="1:9" x14ac:dyDescent="0.25">
      <c r="A46" s="10"/>
      <c r="B46" s="5" t="s">
        <v>83</v>
      </c>
      <c r="C46" s="5" t="s">
        <v>83</v>
      </c>
      <c r="D46" s="5" t="str">
        <f>IF(B46=C46,"Y","N")</f>
        <v>Y</v>
      </c>
      <c r="E46" s="19" t="s">
        <v>83</v>
      </c>
      <c r="F46" s="5" t="str">
        <f t="shared" si="0"/>
        <v>Y</v>
      </c>
    </row>
    <row r="47" spans="1:9" x14ac:dyDescent="0.25">
      <c r="A47" s="10"/>
      <c r="B47" s="5" t="s">
        <v>85</v>
      </c>
      <c r="C47" s="5" t="s">
        <v>85</v>
      </c>
      <c r="D47" s="5" t="str">
        <f>IF(B47=C47,"Y","N")</f>
        <v>Y</v>
      </c>
      <c r="E47" s="19" t="s">
        <v>85</v>
      </c>
      <c r="F47" s="5" t="str">
        <f t="shared" si="0"/>
        <v>Y</v>
      </c>
    </row>
    <row r="48" spans="1:9" x14ac:dyDescent="0.25">
      <c r="A48" s="10"/>
      <c r="B48" s="5" t="s">
        <v>86</v>
      </c>
      <c r="C48" s="5" t="s">
        <v>86</v>
      </c>
      <c r="D48" s="5" t="str">
        <f>IF(B48=C48,"Y","N")</f>
        <v>Y</v>
      </c>
      <c r="E48" s="19" t="s">
        <v>86</v>
      </c>
      <c r="F48" s="5" t="str">
        <f t="shared" si="0"/>
        <v>Y</v>
      </c>
      <c r="I48"/>
    </row>
    <row r="49" spans="1:9" x14ac:dyDescent="0.25">
      <c r="A49" s="10"/>
      <c r="B49" s="5" t="s">
        <v>88</v>
      </c>
      <c r="C49" s="5" t="s">
        <v>88</v>
      </c>
      <c r="D49" s="5" t="str">
        <f>IF(B49=C49,"Y","N")</f>
        <v>Y</v>
      </c>
      <c r="E49" s="19" t="s">
        <v>88</v>
      </c>
      <c r="F49" s="5" t="str">
        <f t="shared" si="0"/>
        <v>Y</v>
      </c>
    </row>
    <row r="50" spans="1:9" x14ac:dyDescent="0.25">
      <c r="A50" s="10"/>
      <c r="B50" s="5" t="s">
        <v>89</v>
      </c>
      <c r="C50" s="5" t="s">
        <v>89</v>
      </c>
      <c r="D50" s="5" t="str">
        <f>IF(B50=C50,"Y","N")</f>
        <v>Y</v>
      </c>
      <c r="E50" s="19" t="s">
        <v>89</v>
      </c>
      <c r="F50" s="5" t="str">
        <f t="shared" si="0"/>
        <v>Y</v>
      </c>
    </row>
    <row r="51" spans="1:9" x14ac:dyDescent="0.25">
      <c r="A51" s="10"/>
      <c r="B51" s="5" t="s">
        <v>90</v>
      </c>
      <c r="C51" s="5" t="s">
        <v>90</v>
      </c>
      <c r="D51" s="5" t="str">
        <f>IF(B51=C51,"Y","N")</f>
        <v>Y</v>
      </c>
      <c r="E51" s="19" t="s">
        <v>90</v>
      </c>
      <c r="F51" s="5" t="str">
        <f t="shared" si="0"/>
        <v>Y</v>
      </c>
    </row>
    <row r="52" spans="1:9" x14ac:dyDescent="0.25">
      <c r="A52" s="10"/>
      <c r="B52" s="5" t="s">
        <v>91</v>
      </c>
      <c r="C52" s="5" t="s">
        <v>91</v>
      </c>
      <c r="D52" s="5" t="str">
        <f>IF(B52=C52,"Y","N")</f>
        <v>Y</v>
      </c>
      <c r="E52" s="19" t="s">
        <v>91</v>
      </c>
      <c r="F52" s="5" t="str">
        <f t="shared" si="0"/>
        <v>Y</v>
      </c>
    </row>
    <row r="53" spans="1:9" x14ac:dyDescent="0.25">
      <c r="A53" s="10"/>
      <c r="B53" s="5" t="s">
        <v>92</v>
      </c>
      <c r="C53" s="5" t="s">
        <v>92</v>
      </c>
      <c r="D53" s="5" t="str">
        <f>IF(B53=C53,"Y","N")</f>
        <v>Y</v>
      </c>
      <c r="E53" s="19" t="s">
        <v>92</v>
      </c>
      <c r="F53" s="5" t="str">
        <f t="shared" si="0"/>
        <v>Y</v>
      </c>
    </row>
    <row r="54" spans="1:9" x14ac:dyDescent="0.25">
      <c r="A54" s="10"/>
      <c r="B54" s="5" t="s">
        <v>93</v>
      </c>
      <c r="C54" s="5" t="s">
        <v>93</v>
      </c>
      <c r="D54" s="5" t="str">
        <f>IF(B54=C54,"Y","N")</f>
        <v>Y</v>
      </c>
      <c r="E54" s="19" t="s">
        <v>93</v>
      </c>
      <c r="F54" s="5" t="str">
        <f t="shared" si="0"/>
        <v>Y</v>
      </c>
      <c r="I54"/>
    </row>
    <row r="55" spans="1:9" x14ac:dyDescent="0.25">
      <c r="A55" s="10"/>
      <c r="B55" s="5" t="s">
        <v>95</v>
      </c>
      <c r="C55" s="5" t="s">
        <v>95</v>
      </c>
      <c r="D55" s="5" t="str">
        <f>IF(B55=C55,"Y","N")</f>
        <v>Y</v>
      </c>
      <c r="E55" s="19" t="s">
        <v>95</v>
      </c>
      <c r="F55" s="5" t="str">
        <f t="shared" si="0"/>
        <v>Y</v>
      </c>
    </row>
    <row r="56" spans="1:9" x14ac:dyDescent="0.25">
      <c r="A56" s="10"/>
      <c r="B56" s="5" t="s">
        <v>96</v>
      </c>
      <c r="C56" s="5" t="s">
        <v>96</v>
      </c>
      <c r="D56" s="5" t="str">
        <f>IF(B56=C56,"Y","N")</f>
        <v>Y</v>
      </c>
      <c r="E56" s="19" t="s">
        <v>96</v>
      </c>
      <c r="F56" s="5" t="str">
        <f t="shared" si="0"/>
        <v>Y</v>
      </c>
    </row>
    <row r="57" spans="1:9" x14ac:dyDescent="0.25">
      <c r="A57" s="10"/>
      <c r="B57" s="5" t="s">
        <v>97</v>
      </c>
      <c r="C57" s="5" t="s">
        <v>97</v>
      </c>
      <c r="D57" s="5" t="str">
        <f>IF(B57=C57,"Y","N")</f>
        <v>Y</v>
      </c>
      <c r="E57" s="19" t="s">
        <v>97</v>
      </c>
      <c r="F57" s="5" t="str">
        <f t="shared" si="0"/>
        <v>Y</v>
      </c>
    </row>
    <row r="58" spans="1:9" x14ac:dyDescent="0.25">
      <c r="A58" s="10"/>
      <c r="B58" s="5" t="s">
        <v>98</v>
      </c>
      <c r="C58" s="5" t="s">
        <v>98</v>
      </c>
      <c r="D58" s="5" t="str">
        <f>IF(B58=C58,"Y","N")</f>
        <v>Y</v>
      </c>
      <c r="E58" s="19" t="s">
        <v>98</v>
      </c>
      <c r="F58" s="5" t="str">
        <f t="shared" si="0"/>
        <v>Y</v>
      </c>
      <c r="I58"/>
    </row>
    <row r="59" spans="1:9" x14ac:dyDescent="0.25">
      <c r="A59" s="10"/>
      <c r="B59" s="5" t="s">
        <v>100</v>
      </c>
      <c r="C59" s="5" t="s">
        <v>100</v>
      </c>
      <c r="D59" s="5" t="str">
        <f>IF(B59=C59,"Y","N")</f>
        <v>Y</v>
      </c>
      <c r="E59" s="19" t="s">
        <v>100</v>
      </c>
      <c r="F59" s="5" t="str">
        <f t="shared" si="0"/>
        <v>Y</v>
      </c>
    </row>
    <row r="60" spans="1:9" x14ac:dyDescent="0.25">
      <c r="A60" s="10"/>
      <c r="B60" s="5" t="s">
        <v>101</v>
      </c>
      <c r="C60" s="5" t="s">
        <v>101</v>
      </c>
      <c r="D60" s="5" t="str">
        <f>IF(B60=C60,"Y","N")</f>
        <v>Y</v>
      </c>
      <c r="E60" s="19" t="s">
        <v>101</v>
      </c>
      <c r="F60" s="5" t="str">
        <f t="shared" si="0"/>
        <v>Y</v>
      </c>
    </row>
    <row r="61" spans="1:9" x14ac:dyDescent="0.25">
      <c r="A61" s="10"/>
      <c r="B61" s="5" t="s">
        <v>102</v>
      </c>
      <c r="C61" s="5" t="s">
        <v>102</v>
      </c>
      <c r="D61" s="5" t="str">
        <f>IF(B61=C61,"Y","N")</f>
        <v>Y</v>
      </c>
      <c r="E61" s="19" t="s">
        <v>102</v>
      </c>
      <c r="F61" s="5" t="str">
        <f t="shared" si="0"/>
        <v>Y</v>
      </c>
    </row>
    <row r="62" spans="1:9" x14ac:dyDescent="0.25">
      <c r="A62" s="10"/>
      <c r="B62" s="5" t="s">
        <v>103</v>
      </c>
      <c r="C62" s="5" t="s">
        <v>103</v>
      </c>
      <c r="D62" s="5" t="str">
        <f>IF(B62=C62,"Y","N")</f>
        <v>Y</v>
      </c>
      <c r="E62" s="19" t="s">
        <v>103</v>
      </c>
      <c r="F62" s="5" t="str">
        <f t="shared" si="0"/>
        <v>Y</v>
      </c>
      <c r="I62"/>
    </row>
    <row r="63" spans="1:9" x14ac:dyDescent="0.25">
      <c r="A63" s="10"/>
      <c r="B63" s="5" t="s">
        <v>105</v>
      </c>
      <c r="C63" s="5" t="s">
        <v>105</v>
      </c>
      <c r="D63" s="5" t="str">
        <f>IF(B63=C63,"Y","N")</f>
        <v>Y</v>
      </c>
      <c r="E63" s="19" t="s">
        <v>105</v>
      </c>
      <c r="F63" s="5" t="str">
        <f t="shared" si="0"/>
        <v>Y</v>
      </c>
    </row>
    <row r="64" spans="1:9" x14ac:dyDescent="0.25">
      <c r="A64" s="10"/>
      <c r="B64" s="5" t="s">
        <v>106</v>
      </c>
      <c r="C64" s="5" t="s">
        <v>106</v>
      </c>
      <c r="D64" s="5" t="str">
        <f>IF(B64=C64,"Y","N")</f>
        <v>Y</v>
      </c>
      <c r="E64" s="19" t="s">
        <v>106</v>
      </c>
      <c r="F64" s="5" t="str">
        <f t="shared" si="0"/>
        <v>Y</v>
      </c>
      <c r="I64"/>
    </row>
    <row r="65" spans="1:9" x14ac:dyDescent="0.25">
      <c r="A65" s="10"/>
      <c r="B65" s="5" t="s">
        <v>110</v>
      </c>
      <c r="C65" s="5" t="s">
        <v>110</v>
      </c>
      <c r="D65" s="5" t="str">
        <f>IF(B65=C65,"Y","N")</f>
        <v>Y</v>
      </c>
      <c r="E65" s="19" t="s">
        <v>110</v>
      </c>
      <c r="F65" s="5" t="str">
        <f t="shared" si="0"/>
        <v>Y</v>
      </c>
      <c r="I65"/>
    </row>
    <row r="66" spans="1:9" x14ac:dyDescent="0.25">
      <c r="A66" s="10"/>
      <c r="B66" s="5" t="s">
        <v>111</v>
      </c>
      <c r="C66" s="5" t="s">
        <v>111</v>
      </c>
      <c r="D66" s="5" t="str">
        <f>IF(B66=C66,"Y","N")</f>
        <v>Y</v>
      </c>
      <c r="E66" s="19" t="s">
        <v>121</v>
      </c>
      <c r="F66" s="5" t="str">
        <f t="shared" si="0"/>
        <v>N</v>
      </c>
    </row>
    <row r="67" spans="1:9" x14ac:dyDescent="0.25">
      <c r="A67" s="10"/>
      <c r="B67" s="5" t="s">
        <v>112</v>
      </c>
      <c r="C67" s="5" t="s">
        <v>112</v>
      </c>
      <c r="D67" s="5" t="str">
        <f>IF(B67=C67,"Y","N")</f>
        <v>Y</v>
      </c>
      <c r="E67" s="19" t="s">
        <v>122</v>
      </c>
      <c r="F67" s="5" t="str">
        <f t="shared" si="0"/>
        <v>N</v>
      </c>
    </row>
    <row r="68" spans="1:9" x14ac:dyDescent="0.25">
      <c r="A68" s="10"/>
      <c r="B68" s="5" t="s">
        <v>154</v>
      </c>
      <c r="C68" s="5" t="s">
        <v>154</v>
      </c>
      <c r="D68" s="5" t="str">
        <f>IF(B68=C68,"Y","N")</f>
        <v>Y</v>
      </c>
      <c r="E68" s="19" t="s">
        <v>154</v>
      </c>
      <c r="F68" s="5" t="str">
        <f t="shared" ref="F68" si="1">IF(C68=E68,"Y","N")</f>
        <v>Y</v>
      </c>
    </row>
  </sheetData>
  <autoFilter ref="A2:J68" xr:uid="{00000000-0001-0000-0800-000000000000}"/>
  <conditionalFormatting sqref="E1 D47 D48:E51 D2:E46 D52:D54 E52 D55:E1048576">
    <cfRule type="cellIs" dxfId="50" priority="3" operator="equal">
      <formula>"N"</formula>
    </cfRule>
  </conditionalFormatting>
  <conditionalFormatting sqref="G23">
    <cfRule type="cellIs" dxfId="49" priority="2" operator="equal">
      <formula>"N"</formula>
    </cfRule>
  </conditionalFormatting>
  <conditionalFormatting sqref="F3:F68">
    <cfRule type="cellIs" dxfId="48" priority="1" operator="equal">
      <formula>"N"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166</v>
      </c>
      <c r="C2" s="12" t="s">
        <v>168</v>
      </c>
      <c r="D2" s="5" t="s">
        <v>336</v>
      </c>
      <c r="E2" s="12" t="s">
        <v>167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19" t="s">
        <v>30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19" t="s">
        <v>32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36</v>
      </c>
      <c r="C19" s="5" t="s">
        <v>36</v>
      </c>
      <c r="D19" s="5" t="str">
        <f>IF(B19=C19,"Y","N")</f>
        <v>Y</v>
      </c>
      <c r="E19" s="19" t="s">
        <v>36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38</v>
      </c>
      <c r="C20" s="5" t="s">
        <v>38</v>
      </c>
      <c r="D20" s="5" t="str">
        <f>IF(B20=C20,"Y","N")</f>
        <v>Y</v>
      </c>
      <c r="E20" s="19" t="s">
        <v>38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42</v>
      </c>
      <c r="C21" s="5" t="s">
        <v>42</v>
      </c>
      <c r="D21" s="5" t="str">
        <f>IF(B21=C21,"Y","N")</f>
        <v>Y</v>
      </c>
      <c r="E21" s="19" t="s">
        <v>42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44</v>
      </c>
      <c r="C22" s="5" t="s">
        <v>44</v>
      </c>
      <c r="D22" s="5" t="str">
        <f>IF(B22=C22,"Y","N")</f>
        <v>Y</v>
      </c>
      <c r="E22" s="19" t="s">
        <v>44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45</v>
      </c>
      <c r="C23" s="5" t="s">
        <v>45</v>
      </c>
      <c r="D23" s="5" t="str">
        <f>IF(B23=C23,"Y","N")</f>
        <v>Y</v>
      </c>
      <c r="E23" s="6"/>
      <c r="F23" s="5" t="str">
        <f t="shared" si="0"/>
        <v>N</v>
      </c>
      <c r="G23" s="14" t="s">
        <v>341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46</v>
      </c>
      <c r="C24" s="5" t="s">
        <v>46</v>
      </c>
      <c r="D24" s="5" t="str">
        <f>IF(B24=C24,"Y","N")</f>
        <v>Y</v>
      </c>
      <c r="E24" s="19" t="s">
        <v>46</v>
      </c>
      <c r="F24" s="5" t="str">
        <f t="shared" si="0"/>
        <v>Y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47</v>
      </c>
      <c r="C25" s="5" t="s">
        <v>47</v>
      </c>
      <c r="D25" s="5" t="str">
        <f>IF(B25=C25,"Y","N")</f>
        <v>Y</v>
      </c>
      <c r="E25" s="19" t="s">
        <v>56</v>
      </c>
      <c r="F25" s="5" t="str">
        <f t="shared" si="0"/>
        <v>N</v>
      </c>
    </row>
    <row r="26" spans="1:10" x14ac:dyDescent="0.25">
      <c r="A26" s="10"/>
      <c r="B26" s="5" t="s">
        <v>48</v>
      </c>
      <c r="C26" s="5" t="s">
        <v>48</v>
      </c>
      <c r="D26" s="5" t="str">
        <f>IF(B26=C26,"Y","N")</f>
        <v>Y</v>
      </c>
      <c r="E26" s="19" t="s">
        <v>58</v>
      </c>
      <c r="F26" s="5" t="str">
        <f t="shared" si="0"/>
        <v>N</v>
      </c>
    </row>
    <row r="27" spans="1:10" x14ac:dyDescent="0.25">
      <c r="A27" s="10"/>
      <c r="B27" s="5" t="s">
        <v>49</v>
      </c>
      <c r="C27" s="5" t="s">
        <v>49</v>
      </c>
      <c r="D27" s="5" t="str">
        <f>IF(B27=C27,"Y","N")</f>
        <v>Y</v>
      </c>
      <c r="E27" s="19" t="s">
        <v>60</v>
      </c>
      <c r="F27" s="5" t="str">
        <f t="shared" si="0"/>
        <v>N</v>
      </c>
    </row>
    <row r="28" spans="1:10" x14ac:dyDescent="0.25">
      <c r="A28" s="10"/>
      <c r="B28" s="5" t="s">
        <v>50</v>
      </c>
      <c r="C28" s="5" t="s">
        <v>50</v>
      </c>
      <c r="D28" s="5" t="str">
        <f>IF(B28=C28,"Y","N")</f>
        <v>Y</v>
      </c>
      <c r="E28" s="19" t="s">
        <v>62</v>
      </c>
      <c r="F28" s="5" t="str">
        <f t="shared" si="0"/>
        <v>N</v>
      </c>
    </row>
    <row r="29" spans="1:10" x14ac:dyDescent="0.25">
      <c r="A29" s="10"/>
      <c r="B29" s="5" t="s">
        <v>51</v>
      </c>
      <c r="C29" s="5" t="s">
        <v>51</v>
      </c>
      <c r="D29" s="5" t="str">
        <f>IF(B29=C29,"Y","N")</f>
        <v>Y</v>
      </c>
      <c r="E29" s="19" t="s">
        <v>64</v>
      </c>
      <c r="F29" s="5" t="str">
        <f t="shared" si="0"/>
        <v>N</v>
      </c>
      <c r="I29"/>
    </row>
    <row r="30" spans="1:10" x14ac:dyDescent="0.25">
      <c r="A30" s="10"/>
      <c r="B30" s="5" t="s">
        <v>53</v>
      </c>
      <c r="C30" s="5" t="s">
        <v>53</v>
      </c>
      <c r="D30" s="5" t="str">
        <f>IF(B30=C30,"Y","N")</f>
        <v>Y</v>
      </c>
      <c r="E30" s="19" t="s">
        <v>66</v>
      </c>
      <c r="F30" s="5" t="str">
        <f t="shared" si="0"/>
        <v>N</v>
      </c>
    </row>
    <row r="31" spans="1:10" x14ac:dyDescent="0.25">
      <c r="A31" s="10"/>
      <c r="B31" s="5" t="s">
        <v>54</v>
      </c>
      <c r="C31" s="5" t="s">
        <v>54</v>
      </c>
      <c r="D31" s="5" t="str">
        <f>IF(B31=C31,"Y","N")</f>
        <v>Y</v>
      </c>
      <c r="E31" s="19" t="s">
        <v>68</v>
      </c>
      <c r="F31" s="5" t="str">
        <f t="shared" si="0"/>
        <v>N</v>
      </c>
    </row>
    <row r="32" spans="1:10" x14ac:dyDescent="0.25">
      <c r="A32" s="10"/>
      <c r="B32" s="5" t="s">
        <v>55</v>
      </c>
      <c r="C32" s="5" t="s">
        <v>55</v>
      </c>
      <c r="D32" s="5" t="str">
        <f>IF(B32=C32,"Y","N")</f>
        <v>Y</v>
      </c>
      <c r="E32" s="19" t="s">
        <v>70</v>
      </c>
      <c r="F32" s="5" t="str">
        <f t="shared" si="0"/>
        <v>N</v>
      </c>
    </row>
    <row r="33" spans="1:9" x14ac:dyDescent="0.25">
      <c r="A33" s="10"/>
      <c r="B33" s="5" t="s">
        <v>57</v>
      </c>
      <c r="C33" s="5" t="s">
        <v>57</v>
      </c>
      <c r="D33" s="5" t="str">
        <f>IF(B33=C33,"Y","N")</f>
        <v>Y</v>
      </c>
      <c r="E33" s="19" t="s">
        <v>72</v>
      </c>
      <c r="F33" s="5" t="str">
        <f t="shared" si="0"/>
        <v>N</v>
      </c>
    </row>
    <row r="34" spans="1:9" x14ac:dyDescent="0.25">
      <c r="A34" s="10"/>
      <c r="B34" s="5" t="s">
        <v>59</v>
      </c>
      <c r="C34" s="5" t="s">
        <v>59</v>
      </c>
      <c r="D34" s="5" t="str">
        <f>IF(B34=C34,"Y","N")</f>
        <v>Y</v>
      </c>
      <c r="E34" s="19" t="s">
        <v>74</v>
      </c>
      <c r="F34" s="5" t="str">
        <f t="shared" si="0"/>
        <v>N</v>
      </c>
    </row>
    <row r="35" spans="1:9" x14ac:dyDescent="0.25">
      <c r="A35" s="10"/>
      <c r="B35" s="5" t="s">
        <v>61</v>
      </c>
      <c r="C35" s="5" t="s">
        <v>61</v>
      </c>
      <c r="D35" s="5" t="str">
        <f>IF(B35=C35,"Y","N")</f>
        <v>Y</v>
      </c>
      <c r="E35" s="19" t="s">
        <v>76</v>
      </c>
      <c r="F35" s="5" t="str">
        <f t="shared" si="0"/>
        <v>N</v>
      </c>
    </row>
    <row r="36" spans="1:9" x14ac:dyDescent="0.25">
      <c r="A36" s="10"/>
      <c r="B36" s="5" t="s">
        <v>63</v>
      </c>
      <c r="C36" s="5" t="s">
        <v>63</v>
      </c>
      <c r="D36" s="5" t="str">
        <f>IF(B36=C36,"Y","N")</f>
        <v>Y</v>
      </c>
      <c r="E36" s="19" t="s">
        <v>78</v>
      </c>
      <c r="F36" s="5" t="str">
        <f t="shared" si="0"/>
        <v>N</v>
      </c>
    </row>
    <row r="37" spans="1:9" x14ac:dyDescent="0.25">
      <c r="A37" s="10"/>
      <c r="B37" s="5" t="s">
        <v>65</v>
      </c>
      <c r="C37" s="5" t="s">
        <v>65</v>
      </c>
      <c r="D37" s="5" t="str">
        <f>IF(B37=C37,"Y","N")</f>
        <v>Y</v>
      </c>
      <c r="E37" s="19" t="s">
        <v>80</v>
      </c>
      <c r="F37" s="5" t="str">
        <f t="shared" si="0"/>
        <v>N</v>
      </c>
    </row>
    <row r="38" spans="1:9" x14ac:dyDescent="0.25">
      <c r="A38" s="10"/>
      <c r="B38" s="5" t="s">
        <v>67</v>
      </c>
      <c r="C38" s="5" t="s">
        <v>67</v>
      </c>
      <c r="D38" s="5" t="str">
        <f>IF(B38=C38,"Y","N")</f>
        <v>Y</v>
      </c>
      <c r="E38" s="19" t="s">
        <v>82</v>
      </c>
      <c r="F38" s="5" t="str">
        <f t="shared" si="0"/>
        <v>N</v>
      </c>
    </row>
    <row r="39" spans="1:9" x14ac:dyDescent="0.25">
      <c r="A39" s="10"/>
      <c r="B39" s="5" t="s">
        <v>69</v>
      </c>
      <c r="C39" s="5" t="s">
        <v>69</v>
      </c>
      <c r="D39" s="5" t="str">
        <f>IF(B39=C39,"Y","N")</f>
        <v>Y</v>
      </c>
      <c r="E39" s="19" t="s">
        <v>84</v>
      </c>
      <c r="F39" s="5" t="str">
        <f t="shared" si="0"/>
        <v>N</v>
      </c>
    </row>
    <row r="40" spans="1:9" x14ac:dyDescent="0.25">
      <c r="A40" s="10"/>
      <c r="B40" s="5" t="s">
        <v>71</v>
      </c>
      <c r="C40" s="5" t="s">
        <v>71</v>
      </c>
      <c r="D40" s="5" t="str">
        <f>IF(B40=C40,"Y","N")</f>
        <v>Y</v>
      </c>
      <c r="E40" s="19" t="s">
        <v>71</v>
      </c>
      <c r="F40" s="5" t="str">
        <f t="shared" si="0"/>
        <v>Y</v>
      </c>
    </row>
    <row r="41" spans="1:9" x14ac:dyDescent="0.25">
      <c r="A41" s="10"/>
      <c r="B41" s="5" t="s">
        <v>73</v>
      </c>
      <c r="C41" s="5" t="s">
        <v>73</v>
      </c>
      <c r="D41" s="5" t="str">
        <f>IF(B41=C41,"Y","N")</f>
        <v>Y</v>
      </c>
      <c r="E41" s="19" t="s">
        <v>73</v>
      </c>
      <c r="F41" s="5" t="str">
        <f t="shared" si="0"/>
        <v>Y</v>
      </c>
    </row>
    <row r="42" spans="1:9" x14ac:dyDescent="0.25">
      <c r="A42" s="10"/>
      <c r="B42" s="5" t="s">
        <v>75</v>
      </c>
      <c r="C42" s="5" t="s">
        <v>75</v>
      </c>
      <c r="D42" s="5" t="str">
        <f>IF(B42=C42,"Y","N")</f>
        <v>Y</v>
      </c>
      <c r="E42" s="19" t="s">
        <v>75</v>
      </c>
      <c r="F42" s="5" t="str">
        <f t="shared" si="0"/>
        <v>Y</v>
      </c>
    </row>
    <row r="43" spans="1:9" x14ac:dyDescent="0.25">
      <c r="A43" s="10"/>
      <c r="B43" s="5" t="s">
        <v>77</v>
      </c>
      <c r="C43" s="5" t="s">
        <v>77</v>
      </c>
      <c r="D43" s="5" t="str">
        <f>IF(B43=C43,"Y","N")</f>
        <v>Y</v>
      </c>
      <c r="E43" s="19" t="s">
        <v>77</v>
      </c>
      <c r="F43" s="5" t="str">
        <f t="shared" si="0"/>
        <v>Y</v>
      </c>
    </row>
    <row r="44" spans="1:9" x14ac:dyDescent="0.25">
      <c r="A44" s="10"/>
      <c r="B44" s="5" t="s">
        <v>79</v>
      </c>
      <c r="C44" s="5" t="s">
        <v>79</v>
      </c>
      <c r="D44" s="5" t="str">
        <f>IF(B44=C44,"Y","N")</f>
        <v>Y</v>
      </c>
      <c r="E44" s="19" t="s">
        <v>79</v>
      </c>
      <c r="F44" s="5" t="str">
        <f t="shared" si="0"/>
        <v>Y</v>
      </c>
    </row>
    <row r="45" spans="1:9" x14ac:dyDescent="0.25">
      <c r="A45" s="10"/>
      <c r="B45" s="5" t="s">
        <v>81</v>
      </c>
      <c r="C45" s="5" t="s">
        <v>81</v>
      </c>
      <c r="D45" s="5" t="str">
        <f>IF(B45=C45,"Y","N")</f>
        <v>Y</v>
      </c>
      <c r="E45" s="19" t="s">
        <v>81</v>
      </c>
      <c r="F45" s="5" t="str">
        <f t="shared" si="0"/>
        <v>Y</v>
      </c>
    </row>
    <row r="46" spans="1:9" x14ac:dyDescent="0.25">
      <c r="A46" s="10"/>
      <c r="B46" s="5" t="s">
        <v>83</v>
      </c>
      <c r="C46" s="5" t="s">
        <v>83</v>
      </c>
      <c r="D46" s="5" t="str">
        <f>IF(B46=C46,"Y","N")</f>
        <v>Y</v>
      </c>
      <c r="E46" s="19" t="s">
        <v>83</v>
      </c>
      <c r="F46" s="5" t="str">
        <f t="shared" si="0"/>
        <v>Y</v>
      </c>
    </row>
    <row r="47" spans="1:9" x14ac:dyDescent="0.25">
      <c r="A47" s="10"/>
      <c r="B47" s="5" t="s">
        <v>85</v>
      </c>
      <c r="C47" s="5" t="s">
        <v>85</v>
      </c>
      <c r="D47" s="5" t="str">
        <f>IF(B47=C47,"Y","N")</f>
        <v>Y</v>
      </c>
      <c r="E47" s="19" t="s">
        <v>85</v>
      </c>
      <c r="F47" s="5" t="str">
        <f t="shared" si="0"/>
        <v>Y</v>
      </c>
    </row>
    <row r="48" spans="1:9" x14ac:dyDescent="0.25">
      <c r="A48" s="10"/>
      <c r="B48" s="5" t="s">
        <v>86</v>
      </c>
      <c r="C48" s="5" t="s">
        <v>86</v>
      </c>
      <c r="D48" s="5" t="str">
        <f>IF(B48=C48,"Y","N")</f>
        <v>Y</v>
      </c>
      <c r="E48" s="19" t="s">
        <v>86</v>
      </c>
      <c r="F48" s="5" t="str">
        <f t="shared" si="0"/>
        <v>Y</v>
      </c>
      <c r="I48"/>
    </row>
    <row r="49" spans="1:9" x14ac:dyDescent="0.25">
      <c r="A49" s="10"/>
      <c r="B49" s="5" t="s">
        <v>88</v>
      </c>
      <c r="C49" s="5" t="s">
        <v>88</v>
      </c>
      <c r="D49" s="5" t="str">
        <f>IF(B49=C49,"Y","N")</f>
        <v>Y</v>
      </c>
      <c r="E49" s="19" t="s">
        <v>88</v>
      </c>
      <c r="F49" s="5" t="str">
        <f t="shared" si="0"/>
        <v>Y</v>
      </c>
    </row>
    <row r="50" spans="1:9" x14ac:dyDescent="0.25">
      <c r="A50" s="10"/>
      <c r="B50" s="5" t="s">
        <v>89</v>
      </c>
      <c r="C50" s="5" t="s">
        <v>89</v>
      </c>
      <c r="D50" s="5" t="str">
        <f>IF(B50=C50,"Y","N")</f>
        <v>Y</v>
      </c>
      <c r="E50" s="19" t="s">
        <v>89</v>
      </c>
      <c r="F50" s="5" t="str">
        <f t="shared" si="0"/>
        <v>Y</v>
      </c>
    </row>
    <row r="51" spans="1:9" x14ac:dyDescent="0.25">
      <c r="A51" s="10"/>
      <c r="B51" s="5" t="s">
        <v>90</v>
      </c>
      <c r="C51" s="5" t="s">
        <v>90</v>
      </c>
      <c r="D51" s="5" t="str">
        <f>IF(B51=C51,"Y","N")</f>
        <v>Y</v>
      </c>
      <c r="E51" s="19" t="s">
        <v>90</v>
      </c>
      <c r="F51" s="5" t="str">
        <f t="shared" si="0"/>
        <v>Y</v>
      </c>
    </row>
    <row r="52" spans="1:9" x14ac:dyDescent="0.25">
      <c r="A52" s="10"/>
      <c r="B52" s="5" t="s">
        <v>91</v>
      </c>
      <c r="C52" s="5" t="s">
        <v>91</v>
      </c>
      <c r="D52" s="5" t="str">
        <f>IF(B52=C52,"Y","N")</f>
        <v>Y</v>
      </c>
      <c r="E52" s="19" t="s">
        <v>91</v>
      </c>
      <c r="F52" s="5" t="str">
        <f t="shared" si="0"/>
        <v>Y</v>
      </c>
    </row>
    <row r="53" spans="1:9" x14ac:dyDescent="0.25">
      <c r="A53" s="10"/>
      <c r="B53" s="5" t="s">
        <v>92</v>
      </c>
      <c r="C53" s="5" t="s">
        <v>92</v>
      </c>
      <c r="D53" s="5" t="str">
        <f>IF(B53=C53,"Y","N")</f>
        <v>Y</v>
      </c>
      <c r="E53" s="19" t="s">
        <v>92</v>
      </c>
      <c r="F53" s="5" t="str">
        <f t="shared" si="0"/>
        <v>Y</v>
      </c>
    </row>
    <row r="54" spans="1:9" x14ac:dyDescent="0.25">
      <c r="A54" s="10"/>
      <c r="B54" s="5" t="s">
        <v>93</v>
      </c>
      <c r="C54" s="5" t="s">
        <v>93</v>
      </c>
      <c r="D54" s="5" t="str">
        <f>IF(B54=C54,"Y","N")</f>
        <v>Y</v>
      </c>
      <c r="E54" s="19" t="s">
        <v>93</v>
      </c>
      <c r="F54" s="5" t="str">
        <f t="shared" si="0"/>
        <v>Y</v>
      </c>
      <c r="I54"/>
    </row>
    <row r="55" spans="1:9" x14ac:dyDescent="0.25">
      <c r="A55" s="10"/>
      <c r="B55" s="5" t="s">
        <v>95</v>
      </c>
      <c r="C55" s="5" t="s">
        <v>95</v>
      </c>
      <c r="D55" s="5" t="str">
        <f>IF(B55=C55,"Y","N")</f>
        <v>Y</v>
      </c>
      <c r="E55" s="19" t="s">
        <v>95</v>
      </c>
      <c r="F55" s="5" t="str">
        <f t="shared" si="0"/>
        <v>Y</v>
      </c>
    </row>
    <row r="56" spans="1:9" x14ac:dyDescent="0.25">
      <c r="A56" s="10"/>
      <c r="B56" s="5" t="s">
        <v>96</v>
      </c>
      <c r="C56" s="5" t="s">
        <v>96</v>
      </c>
      <c r="D56" s="5" t="str">
        <f>IF(B56=C56,"Y","N")</f>
        <v>Y</v>
      </c>
      <c r="E56" s="19" t="s">
        <v>96</v>
      </c>
      <c r="F56" s="5" t="str">
        <f t="shared" si="0"/>
        <v>Y</v>
      </c>
    </row>
    <row r="57" spans="1:9" x14ac:dyDescent="0.25">
      <c r="A57" s="10"/>
      <c r="B57" s="5" t="s">
        <v>97</v>
      </c>
      <c r="C57" s="5" t="s">
        <v>97</v>
      </c>
      <c r="D57" s="5" t="str">
        <f>IF(B57=C57,"Y","N")</f>
        <v>Y</v>
      </c>
      <c r="E57" s="19" t="s">
        <v>97</v>
      </c>
      <c r="F57" s="5" t="str">
        <f t="shared" si="0"/>
        <v>Y</v>
      </c>
    </row>
    <row r="58" spans="1:9" x14ac:dyDescent="0.25">
      <c r="A58" s="10"/>
      <c r="B58" s="5" t="s">
        <v>98</v>
      </c>
      <c r="C58" s="5" t="s">
        <v>98</v>
      </c>
      <c r="D58" s="5" t="str">
        <f>IF(B58=C58,"Y","N")</f>
        <v>Y</v>
      </c>
      <c r="E58" s="19" t="s">
        <v>98</v>
      </c>
      <c r="F58" s="5" t="str">
        <f t="shared" si="0"/>
        <v>Y</v>
      </c>
      <c r="I58"/>
    </row>
    <row r="59" spans="1:9" x14ac:dyDescent="0.25">
      <c r="A59" s="10"/>
      <c r="B59" s="5" t="s">
        <v>100</v>
      </c>
      <c r="C59" s="5" t="s">
        <v>100</v>
      </c>
      <c r="D59" s="5" t="str">
        <f>IF(B59=C59,"Y","N")</f>
        <v>Y</v>
      </c>
      <c r="E59" s="19" t="s">
        <v>100</v>
      </c>
      <c r="F59" s="5" t="str">
        <f t="shared" si="0"/>
        <v>Y</v>
      </c>
    </row>
    <row r="60" spans="1:9" x14ac:dyDescent="0.25">
      <c r="A60" s="10"/>
      <c r="B60" s="5" t="s">
        <v>101</v>
      </c>
      <c r="C60" s="5" t="s">
        <v>101</v>
      </c>
      <c r="D60" s="5" t="str">
        <f>IF(B60=C60,"Y","N")</f>
        <v>Y</v>
      </c>
      <c r="E60" s="19" t="s">
        <v>101</v>
      </c>
      <c r="F60" s="5" t="str">
        <f t="shared" si="0"/>
        <v>Y</v>
      </c>
    </row>
    <row r="61" spans="1:9" x14ac:dyDescent="0.25">
      <c r="A61" s="10"/>
      <c r="B61" s="5" t="s">
        <v>102</v>
      </c>
      <c r="C61" s="5" t="s">
        <v>102</v>
      </c>
      <c r="D61" s="5" t="str">
        <f>IF(B61=C61,"Y","N")</f>
        <v>Y</v>
      </c>
      <c r="E61" s="19" t="s">
        <v>102</v>
      </c>
      <c r="F61" s="5" t="str">
        <f t="shared" si="0"/>
        <v>Y</v>
      </c>
    </row>
    <row r="62" spans="1:9" x14ac:dyDescent="0.25">
      <c r="A62" s="10"/>
      <c r="B62" s="5" t="s">
        <v>103</v>
      </c>
      <c r="C62" s="5" t="s">
        <v>103</v>
      </c>
      <c r="D62" s="5" t="str">
        <f>IF(B62=C62,"Y","N")</f>
        <v>Y</v>
      </c>
      <c r="E62" s="19" t="s">
        <v>103</v>
      </c>
      <c r="F62" s="5" t="str">
        <f t="shared" si="0"/>
        <v>Y</v>
      </c>
      <c r="I62"/>
    </row>
    <row r="63" spans="1:9" x14ac:dyDescent="0.25">
      <c r="A63" s="10"/>
      <c r="B63" s="5" t="s">
        <v>105</v>
      </c>
      <c r="C63" s="5" t="s">
        <v>105</v>
      </c>
      <c r="D63" s="5" t="str">
        <f>IF(B63=C63,"Y","N")</f>
        <v>Y</v>
      </c>
      <c r="E63" s="19" t="s">
        <v>105</v>
      </c>
      <c r="F63" s="5" t="str">
        <f t="shared" si="0"/>
        <v>Y</v>
      </c>
    </row>
    <row r="64" spans="1:9" x14ac:dyDescent="0.25">
      <c r="A64" s="10"/>
      <c r="B64" s="5" t="s">
        <v>106</v>
      </c>
      <c r="C64" s="5" t="s">
        <v>106</v>
      </c>
      <c r="D64" s="5" t="str">
        <f>IF(B64=C64,"Y","N")</f>
        <v>Y</v>
      </c>
      <c r="E64" s="19" t="s">
        <v>106</v>
      </c>
      <c r="F64" s="5" t="str">
        <f t="shared" si="0"/>
        <v>Y</v>
      </c>
      <c r="I64"/>
    </row>
    <row r="65" spans="1:9" x14ac:dyDescent="0.25">
      <c r="A65" s="10"/>
      <c r="B65" s="5" t="s">
        <v>110</v>
      </c>
      <c r="C65" s="5" t="s">
        <v>110</v>
      </c>
      <c r="D65" s="5" t="str">
        <f>IF(B65=C65,"Y","N")</f>
        <v>Y</v>
      </c>
      <c r="E65" s="19" t="s">
        <v>110</v>
      </c>
      <c r="F65" s="5" t="str">
        <f t="shared" si="0"/>
        <v>Y</v>
      </c>
      <c r="I65"/>
    </row>
    <row r="66" spans="1:9" x14ac:dyDescent="0.25">
      <c r="A66" s="10"/>
      <c r="B66" s="5" t="s">
        <v>111</v>
      </c>
      <c r="C66" s="5" t="s">
        <v>111</v>
      </c>
      <c r="D66" s="5" t="str">
        <f>IF(B66=C66,"Y","N")</f>
        <v>Y</v>
      </c>
      <c r="E66" s="19" t="s">
        <v>121</v>
      </c>
      <c r="F66" s="5" t="str">
        <f t="shared" si="0"/>
        <v>N</v>
      </c>
    </row>
    <row r="67" spans="1:9" x14ac:dyDescent="0.25">
      <c r="A67" s="10"/>
      <c r="B67" s="5" t="s">
        <v>112</v>
      </c>
      <c r="C67" s="5" t="s">
        <v>112</v>
      </c>
      <c r="D67" s="5" t="str">
        <f>IF(B67=C67,"Y","N")</f>
        <v>Y</v>
      </c>
      <c r="E67" s="19" t="s">
        <v>122</v>
      </c>
      <c r="F67" s="5" t="str">
        <f t="shared" si="0"/>
        <v>N</v>
      </c>
    </row>
    <row r="68" spans="1:9" x14ac:dyDescent="0.25">
      <c r="A68" s="10"/>
      <c r="B68" s="5" t="s">
        <v>154</v>
      </c>
      <c r="C68" s="5" t="s">
        <v>154</v>
      </c>
      <c r="D68" s="5" t="str">
        <f>IF(B68=C68,"Y","N")</f>
        <v>Y</v>
      </c>
      <c r="E68" s="19" t="s">
        <v>154</v>
      </c>
      <c r="F68" s="5" t="str">
        <f t="shared" ref="F68" si="1">IF(C68=E68,"Y","N")</f>
        <v>Y</v>
      </c>
    </row>
  </sheetData>
  <autoFilter ref="A2:J68" xr:uid="{00000000-0001-0000-0900-000000000000}"/>
  <conditionalFormatting sqref="E1 D47 D48:E51 D2:E46 D52:D54 E52 D55:E1048576">
    <cfRule type="cellIs" dxfId="47" priority="3" operator="equal">
      <formula>"N"</formula>
    </cfRule>
  </conditionalFormatting>
  <conditionalFormatting sqref="G23">
    <cfRule type="cellIs" dxfId="46" priority="2" operator="equal">
      <formula>"N"</formula>
    </cfRule>
  </conditionalFormatting>
  <conditionalFormatting sqref="F3:F68">
    <cfRule type="cellIs" dxfId="45" priority="1" operator="equal">
      <formula>"N"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169</v>
      </c>
      <c r="C2" s="12" t="s">
        <v>171</v>
      </c>
      <c r="D2" s="5" t="s">
        <v>336</v>
      </c>
      <c r="E2" s="12" t="s">
        <v>170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19" t="s">
        <v>30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19" t="s">
        <v>32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36</v>
      </c>
      <c r="C19" s="5" t="s">
        <v>36</v>
      </c>
      <c r="D19" s="5" t="str">
        <f>IF(B19=C19,"Y","N")</f>
        <v>Y</v>
      </c>
      <c r="E19" s="19" t="s">
        <v>36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38</v>
      </c>
      <c r="C20" s="5" t="s">
        <v>38</v>
      </c>
      <c r="D20" s="5" t="str">
        <f>IF(B20=C20,"Y","N")</f>
        <v>Y</v>
      </c>
      <c r="E20" s="19" t="s">
        <v>38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42</v>
      </c>
      <c r="C21" s="5" t="s">
        <v>42</v>
      </c>
      <c r="D21" s="5" t="str">
        <f>IF(B21=C21,"Y","N")</f>
        <v>Y</v>
      </c>
      <c r="E21" s="19" t="s">
        <v>42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44</v>
      </c>
      <c r="C22" s="5" t="s">
        <v>44</v>
      </c>
      <c r="D22" s="5" t="str">
        <f>IF(B22=C22,"Y","N")</f>
        <v>Y</v>
      </c>
      <c r="E22" s="19" t="s">
        <v>44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172</v>
      </c>
      <c r="C23" s="5" t="s">
        <v>172</v>
      </c>
      <c r="D23" s="5" t="str">
        <f>IF(B23=C23,"Y","N")</f>
        <v>Y</v>
      </c>
      <c r="E23" s="19" t="s">
        <v>172</v>
      </c>
      <c r="F23" s="5" t="str">
        <f t="shared" si="0"/>
        <v>Y</v>
      </c>
      <c r="G23" s="14" t="s">
        <v>341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45</v>
      </c>
      <c r="C24" s="5" t="s">
        <v>45</v>
      </c>
      <c r="D24" s="5" t="str">
        <f>IF(B24=C24,"Y","N")</f>
        <v>Y</v>
      </c>
      <c r="E24" s="6"/>
      <c r="F24" s="5" t="str">
        <f t="shared" si="0"/>
        <v>N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46</v>
      </c>
      <c r="C25" s="5" t="s">
        <v>46</v>
      </c>
      <c r="D25" s="5" t="str">
        <f>IF(B25=C25,"Y","N")</f>
        <v>Y</v>
      </c>
      <c r="E25" s="19" t="s">
        <v>46</v>
      </c>
      <c r="F25" s="5" t="str">
        <f t="shared" si="0"/>
        <v>Y</v>
      </c>
    </row>
    <row r="26" spans="1:10" x14ac:dyDescent="0.25">
      <c r="A26" s="10"/>
      <c r="B26" s="5" t="s">
        <v>47</v>
      </c>
      <c r="C26" s="5" t="s">
        <v>47</v>
      </c>
      <c r="D26" s="5" t="str">
        <f>IF(B26=C26,"Y","N")</f>
        <v>Y</v>
      </c>
      <c r="E26" s="19" t="s">
        <v>56</v>
      </c>
      <c r="F26" s="5" t="str">
        <f t="shared" si="0"/>
        <v>N</v>
      </c>
    </row>
    <row r="27" spans="1:10" x14ac:dyDescent="0.25">
      <c r="A27" s="10"/>
      <c r="B27" s="5" t="s">
        <v>48</v>
      </c>
      <c r="C27" s="5" t="s">
        <v>48</v>
      </c>
      <c r="D27" s="5" t="str">
        <f>IF(B27=C27,"Y","N")</f>
        <v>Y</v>
      </c>
      <c r="E27" s="19" t="s">
        <v>58</v>
      </c>
      <c r="F27" s="5" t="str">
        <f t="shared" si="0"/>
        <v>N</v>
      </c>
    </row>
    <row r="28" spans="1:10" x14ac:dyDescent="0.25">
      <c r="A28" s="10"/>
      <c r="B28" s="5" t="s">
        <v>49</v>
      </c>
      <c r="C28" s="5" t="s">
        <v>49</v>
      </c>
      <c r="D28" s="5" t="str">
        <f>IF(B28=C28,"Y","N")</f>
        <v>Y</v>
      </c>
      <c r="E28" s="19" t="s">
        <v>60</v>
      </c>
      <c r="F28" s="5" t="str">
        <f t="shared" si="0"/>
        <v>N</v>
      </c>
    </row>
    <row r="29" spans="1:10" x14ac:dyDescent="0.25">
      <c r="A29" s="10"/>
      <c r="B29" s="5" t="s">
        <v>50</v>
      </c>
      <c r="C29" s="5" t="s">
        <v>50</v>
      </c>
      <c r="D29" s="5" t="str">
        <f>IF(B29=C29,"Y","N")</f>
        <v>Y</v>
      </c>
      <c r="E29" s="19" t="s">
        <v>62</v>
      </c>
      <c r="F29" s="5" t="str">
        <f t="shared" si="0"/>
        <v>N</v>
      </c>
      <c r="I29"/>
    </row>
    <row r="30" spans="1:10" x14ac:dyDescent="0.25">
      <c r="A30" s="10"/>
      <c r="B30" s="5" t="s">
        <v>51</v>
      </c>
      <c r="C30" s="5" t="s">
        <v>51</v>
      </c>
      <c r="D30" s="5" t="str">
        <f>IF(B30=C30,"Y","N")</f>
        <v>Y</v>
      </c>
      <c r="E30" s="19" t="s">
        <v>64</v>
      </c>
      <c r="F30" s="5" t="str">
        <f t="shared" si="0"/>
        <v>N</v>
      </c>
    </row>
    <row r="31" spans="1:10" x14ac:dyDescent="0.25">
      <c r="A31" s="10"/>
      <c r="B31" s="5" t="s">
        <v>53</v>
      </c>
      <c r="C31" s="5" t="s">
        <v>53</v>
      </c>
      <c r="D31" s="5" t="str">
        <f>IF(B31=C31,"Y","N")</f>
        <v>Y</v>
      </c>
      <c r="E31" s="19" t="s">
        <v>66</v>
      </c>
      <c r="F31" s="5" t="str">
        <f t="shared" si="0"/>
        <v>N</v>
      </c>
    </row>
    <row r="32" spans="1:10" x14ac:dyDescent="0.25">
      <c r="A32" s="10"/>
      <c r="B32" s="5" t="s">
        <v>54</v>
      </c>
      <c r="C32" s="5" t="s">
        <v>54</v>
      </c>
      <c r="D32" s="5" t="str">
        <f>IF(B32=C32,"Y","N")</f>
        <v>Y</v>
      </c>
      <c r="E32" s="19" t="s">
        <v>68</v>
      </c>
      <c r="F32" s="5" t="str">
        <f t="shared" si="0"/>
        <v>N</v>
      </c>
    </row>
    <row r="33" spans="1:6" x14ac:dyDescent="0.25">
      <c r="A33" s="10"/>
      <c r="B33" s="5" t="s">
        <v>55</v>
      </c>
      <c r="C33" s="5" t="s">
        <v>55</v>
      </c>
      <c r="D33" s="5" t="str">
        <f>IF(B33=C33,"Y","N")</f>
        <v>Y</v>
      </c>
      <c r="E33" s="19" t="s">
        <v>70</v>
      </c>
      <c r="F33" s="5" t="str">
        <f t="shared" si="0"/>
        <v>N</v>
      </c>
    </row>
    <row r="34" spans="1:6" x14ac:dyDescent="0.25">
      <c r="A34" s="10"/>
      <c r="B34" s="5" t="s">
        <v>57</v>
      </c>
      <c r="C34" s="5" t="s">
        <v>57</v>
      </c>
      <c r="D34" s="5" t="str">
        <f>IF(B34=C34,"Y","N")</f>
        <v>Y</v>
      </c>
      <c r="E34" s="19" t="s">
        <v>72</v>
      </c>
      <c r="F34" s="5" t="str">
        <f t="shared" si="0"/>
        <v>N</v>
      </c>
    </row>
    <row r="35" spans="1:6" x14ac:dyDescent="0.25">
      <c r="A35" s="10"/>
      <c r="B35" s="5" t="s">
        <v>59</v>
      </c>
      <c r="C35" s="5" t="s">
        <v>59</v>
      </c>
      <c r="D35" s="5" t="str">
        <f>IF(B35=C35,"Y","N")</f>
        <v>Y</v>
      </c>
      <c r="E35" s="19" t="s">
        <v>74</v>
      </c>
      <c r="F35" s="5" t="str">
        <f t="shared" si="0"/>
        <v>N</v>
      </c>
    </row>
    <row r="36" spans="1:6" x14ac:dyDescent="0.25">
      <c r="A36" s="10"/>
      <c r="B36" s="5" t="s">
        <v>61</v>
      </c>
      <c r="C36" s="5" t="s">
        <v>61</v>
      </c>
      <c r="D36" s="5" t="str">
        <f>IF(B36=C36,"Y","N")</f>
        <v>Y</v>
      </c>
      <c r="E36" s="19" t="s">
        <v>76</v>
      </c>
      <c r="F36" s="5" t="str">
        <f t="shared" si="0"/>
        <v>N</v>
      </c>
    </row>
    <row r="37" spans="1:6" x14ac:dyDescent="0.25">
      <c r="A37" s="10"/>
      <c r="B37" s="5" t="s">
        <v>63</v>
      </c>
      <c r="C37" s="5" t="s">
        <v>63</v>
      </c>
      <c r="D37" s="5" t="str">
        <f>IF(B37=C37,"Y","N")</f>
        <v>Y</v>
      </c>
      <c r="E37" s="19" t="s">
        <v>78</v>
      </c>
      <c r="F37" s="5" t="str">
        <f t="shared" si="0"/>
        <v>N</v>
      </c>
    </row>
    <row r="38" spans="1:6" x14ac:dyDescent="0.25">
      <c r="A38" s="10"/>
      <c r="B38" s="5" t="s">
        <v>65</v>
      </c>
      <c r="C38" s="5" t="s">
        <v>65</v>
      </c>
      <c r="D38" s="5" t="str">
        <f>IF(B38=C38,"Y","N")</f>
        <v>Y</v>
      </c>
      <c r="E38" s="19" t="s">
        <v>80</v>
      </c>
      <c r="F38" s="5" t="str">
        <f t="shared" si="0"/>
        <v>N</v>
      </c>
    </row>
    <row r="39" spans="1:6" x14ac:dyDescent="0.25">
      <c r="A39" s="10"/>
      <c r="B39" s="5" t="s">
        <v>67</v>
      </c>
      <c r="C39" s="5" t="s">
        <v>67</v>
      </c>
      <c r="D39" s="5" t="str">
        <f>IF(B39=C39,"Y","N")</f>
        <v>Y</v>
      </c>
      <c r="E39" s="19" t="s">
        <v>82</v>
      </c>
      <c r="F39" s="5" t="str">
        <f t="shared" si="0"/>
        <v>N</v>
      </c>
    </row>
    <row r="40" spans="1:6" x14ac:dyDescent="0.25">
      <c r="A40" s="10"/>
      <c r="B40" s="5" t="s">
        <v>69</v>
      </c>
      <c r="C40" s="5" t="s">
        <v>69</v>
      </c>
      <c r="D40" s="5" t="str">
        <f>IF(B40=C40,"Y","N")</f>
        <v>Y</v>
      </c>
      <c r="E40" s="19" t="s">
        <v>84</v>
      </c>
      <c r="F40" s="5" t="str">
        <f t="shared" si="0"/>
        <v>N</v>
      </c>
    </row>
    <row r="41" spans="1:6" x14ac:dyDescent="0.25">
      <c r="A41" s="10"/>
      <c r="B41" s="5" t="s">
        <v>71</v>
      </c>
      <c r="C41" s="5" t="s">
        <v>71</v>
      </c>
      <c r="D41" s="5" t="str">
        <f>IF(B41=C41,"Y","N")</f>
        <v>Y</v>
      </c>
      <c r="E41" s="19" t="s">
        <v>71</v>
      </c>
      <c r="F41" s="5" t="str">
        <f t="shared" si="0"/>
        <v>Y</v>
      </c>
    </row>
    <row r="42" spans="1:6" x14ac:dyDescent="0.25">
      <c r="A42" s="10"/>
      <c r="B42" s="5" t="s">
        <v>73</v>
      </c>
      <c r="C42" s="5" t="s">
        <v>73</v>
      </c>
      <c r="D42" s="5" t="str">
        <f>IF(B42=C42,"Y","N")</f>
        <v>Y</v>
      </c>
      <c r="E42" s="19" t="s">
        <v>73</v>
      </c>
      <c r="F42" s="5" t="str">
        <f t="shared" si="0"/>
        <v>Y</v>
      </c>
    </row>
    <row r="43" spans="1:6" x14ac:dyDescent="0.25">
      <c r="A43" s="10"/>
      <c r="B43" s="5" t="s">
        <v>75</v>
      </c>
      <c r="C43" s="5" t="s">
        <v>75</v>
      </c>
      <c r="D43" s="5" t="str">
        <f>IF(B43=C43,"Y","N")</f>
        <v>Y</v>
      </c>
      <c r="E43" s="19" t="s">
        <v>75</v>
      </c>
      <c r="F43" s="5" t="str">
        <f t="shared" si="0"/>
        <v>Y</v>
      </c>
    </row>
    <row r="44" spans="1:6" x14ac:dyDescent="0.25">
      <c r="A44" s="10"/>
      <c r="B44" s="5" t="s">
        <v>77</v>
      </c>
      <c r="C44" s="5" t="s">
        <v>77</v>
      </c>
      <c r="D44" s="5" t="str">
        <f>IF(B44=C44,"Y","N")</f>
        <v>Y</v>
      </c>
      <c r="E44" s="19" t="s">
        <v>77</v>
      </c>
      <c r="F44" s="5" t="str">
        <f t="shared" si="0"/>
        <v>Y</v>
      </c>
    </row>
    <row r="45" spans="1:6" x14ac:dyDescent="0.25">
      <c r="A45" s="10"/>
      <c r="B45" s="5" t="s">
        <v>79</v>
      </c>
      <c r="C45" s="5" t="s">
        <v>79</v>
      </c>
      <c r="D45" s="5" t="str">
        <f>IF(B45=C45,"Y","N")</f>
        <v>Y</v>
      </c>
      <c r="E45" s="19" t="s">
        <v>79</v>
      </c>
      <c r="F45" s="5" t="str">
        <f t="shared" si="0"/>
        <v>Y</v>
      </c>
    </row>
    <row r="46" spans="1:6" x14ac:dyDescent="0.25">
      <c r="A46" s="10"/>
      <c r="B46" s="5" t="s">
        <v>81</v>
      </c>
      <c r="C46" s="5" t="s">
        <v>81</v>
      </c>
      <c r="D46" s="5" t="str">
        <f>IF(B46=C46,"Y","N")</f>
        <v>Y</v>
      </c>
      <c r="E46" s="19" t="s">
        <v>81</v>
      </c>
      <c r="F46" s="5" t="str">
        <f t="shared" si="0"/>
        <v>Y</v>
      </c>
    </row>
    <row r="47" spans="1:6" x14ac:dyDescent="0.25">
      <c r="A47" s="10"/>
      <c r="B47" s="5" t="s">
        <v>83</v>
      </c>
      <c r="C47" s="5" t="s">
        <v>83</v>
      </c>
      <c r="D47" s="5" t="str">
        <f>IF(B47=C47,"Y","N")</f>
        <v>Y</v>
      </c>
      <c r="E47" s="19" t="s">
        <v>83</v>
      </c>
      <c r="F47" s="5" t="str">
        <f t="shared" si="0"/>
        <v>Y</v>
      </c>
    </row>
    <row r="48" spans="1:6" x14ac:dyDescent="0.25">
      <c r="A48" s="10"/>
      <c r="B48" s="5" t="s">
        <v>85</v>
      </c>
      <c r="C48" s="5" t="s">
        <v>85</v>
      </c>
      <c r="D48" s="5" t="str">
        <f>IF(B48=C48,"Y","N")</f>
        <v>Y</v>
      </c>
      <c r="E48" s="19" t="s">
        <v>85</v>
      </c>
      <c r="F48" s="5" t="str">
        <f t="shared" si="0"/>
        <v>Y</v>
      </c>
    </row>
    <row r="49" spans="1:9" x14ac:dyDescent="0.25">
      <c r="A49" s="10"/>
      <c r="B49" s="5" t="s">
        <v>86</v>
      </c>
      <c r="C49" s="5" t="s">
        <v>86</v>
      </c>
      <c r="D49" s="5" t="str">
        <f>IF(B49=C49,"Y","N")</f>
        <v>Y</v>
      </c>
      <c r="E49" s="19" t="s">
        <v>86</v>
      </c>
      <c r="F49" s="5" t="str">
        <f t="shared" si="0"/>
        <v>Y</v>
      </c>
      <c r="I49"/>
    </row>
    <row r="50" spans="1:9" x14ac:dyDescent="0.25">
      <c r="A50" s="10"/>
      <c r="B50" s="5" t="s">
        <v>88</v>
      </c>
      <c r="C50" s="5" t="s">
        <v>88</v>
      </c>
      <c r="D50" s="5" t="str">
        <f>IF(B50=C50,"Y","N")</f>
        <v>Y</v>
      </c>
      <c r="E50" s="19" t="s">
        <v>88</v>
      </c>
      <c r="F50" s="5" t="str">
        <f t="shared" si="0"/>
        <v>Y</v>
      </c>
    </row>
    <row r="51" spans="1:9" x14ac:dyDescent="0.25">
      <c r="A51" s="10"/>
      <c r="B51" s="5" t="s">
        <v>89</v>
      </c>
      <c r="C51" s="5" t="s">
        <v>89</v>
      </c>
      <c r="D51" s="5" t="str">
        <f>IF(B51=C51,"Y","N")</f>
        <v>Y</v>
      </c>
      <c r="E51" s="19" t="s">
        <v>89</v>
      </c>
      <c r="F51" s="5" t="str">
        <f t="shared" si="0"/>
        <v>Y</v>
      </c>
    </row>
    <row r="52" spans="1:9" x14ac:dyDescent="0.25">
      <c r="A52" s="10"/>
      <c r="B52" s="5" t="s">
        <v>90</v>
      </c>
      <c r="C52" s="5" t="s">
        <v>90</v>
      </c>
      <c r="D52" s="5" t="str">
        <f>IF(B52=C52,"Y","N")</f>
        <v>Y</v>
      </c>
      <c r="E52" s="19" t="s">
        <v>90</v>
      </c>
      <c r="F52" s="5" t="str">
        <f t="shared" si="0"/>
        <v>Y</v>
      </c>
    </row>
    <row r="53" spans="1:9" x14ac:dyDescent="0.25">
      <c r="A53" s="10"/>
      <c r="B53" s="5" t="s">
        <v>91</v>
      </c>
      <c r="C53" s="5" t="s">
        <v>91</v>
      </c>
      <c r="D53" s="5" t="str">
        <f>IF(B53=C53,"Y","N")</f>
        <v>Y</v>
      </c>
      <c r="E53" s="19" t="s">
        <v>91</v>
      </c>
      <c r="F53" s="5" t="str">
        <f t="shared" si="0"/>
        <v>Y</v>
      </c>
    </row>
    <row r="54" spans="1:9" x14ac:dyDescent="0.25">
      <c r="A54" s="10"/>
      <c r="B54" s="5" t="s">
        <v>92</v>
      </c>
      <c r="C54" s="5" t="s">
        <v>92</v>
      </c>
      <c r="D54" s="5" t="str">
        <f>IF(B54=C54,"Y","N")</f>
        <v>Y</v>
      </c>
      <c r="E54" s="19" t="s">
        <v>92</v>
      </c>
      <c r="F54" s="5" t="str">
        <f t="shared" si="0"/>
        <v>Y</v>
      </c>
    </row>
    <row r="55" spans="1:9" x14ac:dyDescent="0.25">
      <c r="A55" s="10"/>
      <c r="B55" s="5" t="s">
        <v>93</v>
      </c>
      <c r="C55" s="5" t="s">
        <v>93</v>
      </c>
      <c r="D55" s="5" t="str">
        <f>IF(B55=C55,"Y","N")</f>
        <v>Y</v>
      </c>
      <c r="E55" s="19" t="s">
        <v>93</v>
      </c>
      <c r="F55" s="5" t="str">
        <f t="shared" si="0"/>
        <v>Y</v>
      </c>
      <c r="I55"/>
    </row>
    <row r="56" spans="1:9" x14ac:dyDescent="0.25">
      <c r="A56" s="10"/>
      <c r="B56" s="5" t="s">
        <v>95</v>
      </c>
      <c r="C56" s="5" t="s">
        <v>95</v>
      </c>
      <c r="D56" s="5" t="str">
        <f>IF(B56=C56,"Y","N")</f>
        <v>Y</v>
      </c>
      <c r="E56" s="19" t="s">
        <v>95</v>
      </c>
      <c r="F56" s="5" t="str">
        <f t="shared" si="0"/>
        <v>Y</v>
      </c>
    </row>
    <row r="57" spans="1:9" x14ac:dyDescent="0.25">
      <c r="A57" s="10"/>
      <c r="B57" s="5" t="s">
        <v>96</v>
      </c>
      <c r="C57" s="5" t="s">
        <v>96</v>
      </c>
      <c r="D57" s="5" t="str">
        <f>IF(B57=C57,"Y","N")</f>
        <v>Y</v>
      </c>
      <c r="E57" s="19" t="s">
        <v>96</v>
      </c>
      <c r="F57" s="5" t="str">
        <f t="shared" si="0"/>
        <v>Y</v>
      </c>
    </row>
    <row r="58" spans="1:9" x14ac:dyDescent="0.25">
      <c r="A58" s="10"/>
      <c r="B58" s="5" t="s">
        <v>97</v>
      </c>
      <c r="C58" s="5" t="s">
        <v>97</v>
      </c>
      <c r="D58" s="5" t="str">
        <f>IF(B58=C58,"Y","N")</f>
        <v>Y</v>
      </c>
      <c r="E58" s="19" t="s">
        <v>97</v>
      </c>
      <c r="F58" s="5" t="str">
        <f t="shared" si="0"/>
        <v>Y</v>
      </c>
    </row>
    <row r="59" spans="1:9" x14ac:dyDescent="0.25">
      <c r="A59" s="10"/>
      <c r="B59" s="5" t="s">
        <v>98</v>
      </c>
      <c r="C59" s="5" t="s">
        <v>98</v>
      </c>
      <c r="D59" s="5" t="str">
        <f>IF(B59=C59,"Y","N")</f>
        <v>Y</v>
      </c>
      <c r="E59" s="19" t="s">
        <v>98</v>
      </c>
      <c r="F59" s="5" t="str">
        <f t="shared" si="0"/>
        <v>Y</v>
      </c>
      <c r="I59"/>
    </row>
    <row r="60" spans="1:9" x14ac:dyDescent="0.25">
      <c r="A60" s="10"/>
      <c r="B60" s="5" t="s">
        <v>100</v>
      </c>
      <c r="C60" s="5" t="s">
        <v>100</v>
      </c>
      <c r="D60" s="5" t="str">
        <f>IF(B60=C60,"Y","N")</f>
        <v>Y</v>
      </c>
      <c r="E60" s="19" t="s">
        <v>100</v>
      </c>
      <c r="F60" s="5" t="str">
        <f t="shared" si="0"/>
        <v>Y</v>
      </c>
    </row>
    <row r="61" spans="1:9" x14ac:dyDescent="0.25">
      <c r="A61" s="10"/>
      <c r="B61" s="5" t="s">
        <v>101</v>
      </c>
      <c r="C61" s="5" t="s">
        <v>101</v>
      </c>
      <c r="D61" s="5" t="str">
        <f>IF(B61=C61,"Y","N")</f>
        <v>Y</v>
      </c>
      <c r="E61" s="19" t="s">
        <v>101</v>
      </c>
      <c r="F61" s="5" t="str">
        <f t="shared" si="0"/>
        <v>Y</v>
      </c>
    </row>
    <row r="62" spans="1:9" x14ac:dyDescent="0.25">
      <c r="A62" s="10"/>
      <c r="B62" s="5" t="s">
        <v>102</v>
      </c>
      <c r="C62" s="5" t="s">
        <v>102</v>
      </c>
      <c r="D62" s="5" t="str">
        <f>IF(B62=C62,"Y","N")</f>
        <v>Y</v>
      </c>
      <c r="E62" s="19" t="s">
        <v>102</v>
      </c>
      <c r="F62" s="5" t="str">
        <f t="shared" si="0"/>
        <v>Y</v>
      </c>
    </row>
    <row r="63" spans="1:9" x14ac:dyDescent="0.25">
      <c r="A63" s="10"/>
      <c r="B63" s="5" t="s">
        <v>103</v>
      </c>
      <c r="C63" s="5" t="s">
        <v>103</v>
      </c>
      <c r="D63" s="5" t="str">
        <f>IF(B63=C63,"Y","N")</f>
        <v>Y</v>
      </c>
      <c r="E63" s="19" t="s">
        <v>103</v>
      </c>
      <c r="F63" s="5" t="str">
        <f t="shared" si="0"/>
        <v>Y</v>
      </c>
      <c r="I63"/>
    </row>
    <row r="64" spans="1:9" x14ac:dyDescent="0.25">
      <c r="A64" s="10"/>
      <c r="B64" s="5" t="s">
        <v>105</v>
      </c>
      <c r="C64" s="5" t="s">
        <v>105</v>
      </c>
      <c r="D64" s="5" t="str">
        <f>IF(B64=C64,"Y","N")</f>
        <v>Y</v>
      </c>
      <c r="E64" s="19" t="s">
        <v>105</v>
      </c>
      <c r="F64" s="5" t="str">
        <f t="shared" si="0"/>
        <v>Y</v>
      </c>
    </row>
    <row r="65" spans="1:9" x14ac:dyDescent="0.25">
      <c r="A65" s="10"/>
      <c r="B65" s="5" t="s">
        <v>106</v>
      </c>
      <c r="C65" s="5" t="s">
        <v>106</v>
      </c>
      <c r="D65" s="5" t="str">
        <f>IF(B65=C65,"Y","N")</f>
        <v>Y</v>
      </c>
      <c r="E65" s="19" t="s">
        <v>106</v>
      </c>
      <c r="F65" s="5" t="str">
        <f t="shared" si="0"/>
        <v>Y</v>
      </c>
      <c r="I65"/>
    </row>
    <row r="66" spans="1:9" x14ac:dyDescent="0.25">
      <c r="A66" s="10"/>
      <c r="B66" s="5" t="s">
        <v>173</v>
      </c>
      <c r="C66" s="5" t="s">
        <v>173</v>
      </c>
      <c r="D66" s="5" t="str">
        <f>IF(B66=C66,"Y","N")</f>
        <v>Y</v>
      </c>
      <c r="E66" s="19" t="s">
        <v>173</v>
      </c>
      <c r="F66" s="5" t="str">
        <f t="shared" si="0"/>
        <v>Y</v>
      </c>
      <c r="I66"/>
    </row>
    <row r="67" spans="1:9" x14ac:dyDescent="0.25">
      <c r="A67" s="10"/>
      <c r="B67" s="5" t="s">
        <v>110</v>
      </c>
      <c r="C67" s="5" t="s">
        <v>110</v>
      </c>
      <c r="D67" s="5" t="str">
        <f>IF(B67=C67,"Y","N")</f>
        <v>Y</v>
      </c>
      <c r="E67" s="19" t="s">
        <v>110</v>
      </c>
      <c r="F67" s="5" t="str">
        <f t="shared" si="0"/>
        <v>Y</v>
      </c>
    </row>
    <row r="68" spans="1:9" x14ac:dyDescent="0.25">
      <c r="A68" s="10"/>
      <c r="B68" s="5" t="s">
        <v>111</v>
      </c>
      <c r="C68" s="5" t="s">
        <v>111</v>
      </c>
      <c r="D68" s="5" t="str">
        <f>IF(B68=C68,"Y","N")</f>
        <v>Y</v>
      </c>
      <c r="E68" s="19" t="s">
        <v>121</v>
      </c>
      <c r="F68" s="5" t="str">
        <f t="shared" ref="F68:F70" si="1">IF(C68=E68,"Y","N")</f>
        <v>N</v>
      </c>
    </row>
    <row r="69" spans="1:9" x14ac:dyDescent="0.25">
      <c r="A69" s="10"/>
      <c r="B69" s="5" t="s">
        <v>112</v>
      </c>
      <c r="C69" s="5" t="s">
        <v>112</v>
      </c>
      <c r="D69" s="5" t="str">
        <f>IF(B69=C69,"Y","N")</f>
        <v>Y</v>
      </c>
      <c r="E69" s="19" t="s">
        <v>122</v>
      </c>
      <c r="F69" s="5" t="str">
        <f t="shared" si="1"/>
        <v>N</v>
      </c>
    </row>
    <row r="70" spans="1:9" x14ac:dyDescent="0.25">
      <c r="A70" s="10"/>
      <c r="B70" s="5" t="s">
        <v>154</v>
      </c>
      <c r="C70" s="5" t="s">
        <v>154</v>
      </c>
      <c r="D70" s="5" t="str">
        <f>IF(B70=C70,"Y","N")</f>
        <v>Y</v>
      </c>
      <c r="E70" s="19" t="s">
        <v>154</v>
      </c>
      <c r="F70" s="5" t="str">
        <f t="shared" si="1"/>
        <v>Y</v>
      </c>
    </row>
  </sheetData>
  <autoFilter ref="A2:J70" xr:uid="{00000000-0001-0000-0A00-000000000000}"/>
  <conditionalFormatting sqref="E1 D47 D48:E51 D52:D54 I49 D2:E46 D55:E1048576">
    <cfRule type="cellIs" dxfId="44" priority="3" operator="equal">
      <formula>"N"</formula>
    </cfRule>
  </conditionalFormatting>
  <conditionalFormatting sqref="G23">
    <cfRule type="cellIs" dxfId="43" priority="2" operator="equal">
      <formula>"N"</formula>
    </cfRule>
  </conditionalFormatting>
  <conditionalFormatting sqref="F3:F70">
    <cfRule type="cellIs" dxfId="42" priority="1" operator="equal">
      <formula>"N"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174</v>
      </c>
      <c r="C2" s="12" t="s">
        <v>176</v>
      </c>
      <c r="D2" s="5" t="s">
        <v>336</v>
      </c>
      <c r="E2" s="12" t="s">
        <v>175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177</v>
      </c>
      <c r="C17" s="5" t="s">
        <v>177</v>
      </c>
      <c r="D17" s="5" t="str">
        <f>IF(B17=C17,"Y","N")</f>
        <v>Y</v>
      </c>
      <c r="E17" s="19" t="s">
        <v>177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30</v>
      </c>
      <c r="C18" s="5" t="s">
        <v>30</v>
      </c>
      <c r="D18" s="5" t="str">
        <f>IF(B18=C18,"Y","N")</f>
        <v>Y</v>
      </c>
      <c r="E18" s="19" t="s">
        <v>30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32</v>
      </c>
      <c r="C19" s="5" t="s">
        <v>32</v>
      </c>
      <c r="D19" s="5" t="str">
        <f>IF(B19=C19,"Y","N")</f>
        <v>Y</v>
      </c>
      <c r="E19" s="19" t="s">
        <v>32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36</v>
      </c>
      <c r="C20" s="5" t="s">
        <v>36</v>
      </c>
      <c r="D20" s="5" t="str">
        <f>IF(B20=C20,"Y","N")</f>
        <v>Y</v>
      </c>
      <c r="E20" s="19" t="s">
        <v>36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38</v>
      </c>
      <c r="C21" s="5" t="s">
        <v>38</v>
      </c>
      <c r="D21" s="5" t="str">
        <f>IF(B21=C21,"Y","N")</f>
        <v>Y</v>
      </c>
      <c r="E21" s="19" t="s">
        <v>38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42</v>
      </c>
      <c r="C22" s="5" t="s">
        <v>42</v>
      </c>
      <c r="D22" s="5" t="str">
        <f>IF(B22=C22,"Y","N")</f>
        <v>Y</v>
      </c>
      <c r="E22" s="19" t="s">
        <v>42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44</v>
      </c>
      <c r="C23" s="5" t="s">
        <v>44</v>
      </c>
      <c r="D23" s="5" t="str">
        <f>IF(B23=C23,"Y","N")</f>
        <v>Y</v>
      </c>
      <c r="E23" s="19" t="s">
        <v>44</v>
      </c>
      <c r="F23" s="5" t="str">
        <f t="shared" si="0"/>
        <v>Y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45</v>
      </c>
      <c r="C24" s="5" t="s">
        <v>45</v>
      </c>
      <c r="D24" s="5" t="str">
        <f>IF(B24=C24,"Y","N")</f>
        <v>Y</v>
      </c>
      <c r="E24" s="6"/>
      <c r="F24" s="5" t="str">
        <f t="shared" si="0"/>
        <v>N</v>
      </c>
      <c r="G24" s="14" t="s">
        <v>341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46</v>
      </c>
      <c r="C25" s="5" t="s">
        <v>46</v>
      </c>
      <c r="D25" s="5" t="str">
        <f>IF(B25=C25,"Y","N")</f>
        <v>Y</v>
      </c>
      <c r="E25" s="19" t="s">
        <v>46</v>
      </c>
      <c r="F25" s="5" t="str">
        <f t="shared" si="0"/>
        <v>Y</v>
      </c>
    </row>
    <row r="26" spans="1:10" x14ac:dyDescent="0.25">
      <c r="A26" s="10"/>
      <c r="B26" s="5" t="s">
        <v>47</v>
      </c>
      <c r="C26" s="5" t="s">
        <v>47</v>
      </c>
      <c r="D26" s="5" t="str">
        <f>IF(B26=C26,"Y","N")</f>
        <v>Y</v>
      </c>
      <c r="E26" s="19" t="s">
        <v>56</v>
      </c>
      <c r="F26" s="5" t="str">
        <f t="shared" si="0"/>
        <v>N</v>
      </c>
    </row>
    <row r="27" spans="1:10" x14ac:dyDescent="0.25">
      <c r="A27" s="10"/>
      <c r="B27" s="5" t="s">
        <v>48</v>
      </c>
      <c r="C27" s="5" t="s">
        <v>48</v>
      </c>
      <c r="D27" s="5" t="str">
        <f>IF(B27=C27,"Y","N")</f>
        <v>Y</v>
      </c>
      <c r="E27" s="19" t="s">
        <v>58</v>
      </c>
      <c r="F27" s="5" t="str">
        <f t="shared" si="0"/>
        <v>N</v>
      </c>
    </row>
    <row r="28" spans="1:10" x14ac:dyDescent="0.25">
      <c r="A28" s="10"/>
      <c r="B28" s="5" t="s">
        <v>49</v>
      </c>
      <c r="C28" s="5" t="s">
        <v>49</v>
      </c>
      <c r="D28" s="5" t="str">
        <f>IF(B28=C28,"Y","N")</f>
        <v>Y</v>
      </c>
      <c r="E28" s="19" t="s">
        <v>60</v>
      </c>
      <c r="F28" s="5" t="str">
        <f t="shared" si="0"/>
        <v>N</v>
      </c>
    </row>
    <row r="29" spans="1:10" x14ac:dyDescent="0.25">
      <c r="A29" s="10"/>
      <c r="B29" s="5" t="s">
        <v>50</v>
      </c>
      <c r="C29" s="5" t="s">
        <v>50</v>
      </c>
      <c r="D29" s="5" t="str">
        <f>IF(B29=C29,"Y","N")</f>
        <v>Y</v>
      </c>
      <c r="E29" s="19" t="s">
        <v>62</v>
      </c>
      <c r="F29" s="5" t="str">
        <f t="shared" si="0"/>
        <v>N</v>
      </c>
    </row>
    <row r="30" spans="1:10" x14ac:dyDescent="0.25">
      <c r="A30" s="10"/>
      <c r="B30" s="5" t="s">
        <v>51</v>
      </c>
      <c r="C30" s="5" t="s">
        <v>51</v>
      </c>
      <c r="D30" s="5" t="str">
        <f>IF(B30=C30,"Y","N")</f>
        <v>Y</v>
      </c>
      <c r="E30" s="19" t="s">
        <v>64</v>
      </c>
      <c r="F30" s="5" t="str">
        <f t="shared" si="0"/>
        <v>N</v>
      </c>
      <c r="I30"/>
    </row>
    <row r="31" spans="1:10" x14ac:dyDescent="0.25">
      <c r="A31" s="10"/>
      <c r="B31" s="5" t="s">
        <v>53</v>
      </c>
      <c r="C31" s="5" t="s">
        <v>53</v>
      </c>
      <c r="D31" s="5" t="str">
        <f>IF(B31=C31,"Y","N")</f>
        <v>Y</v>
      </c>
      <c r="E31" s="19" t="s">
        <v>66</v>
      </c>
      <c r="F31" s="5" t="str">
        <f t="shared" si="0"/>
        <v>N</v>
      </c>
    </row>
    <row r="32" spans="1:10" x14ac:dyDescent="0.25">
      <c r="A32" s="10"/>
      <c r="B32" s="5" t="s">
        <v>54</v>
      </c>
      <c r="C32" s="5" t="s">
        <v>54</v>
      </c>
      <c r="D32" s="5" t="str">
        <f>IF(B32=C32,"Y","N")</f>
        <v>Y</v>
      </c>
      <c r="E32" s="19" t="s">
        <v>68</v>
      </c>
      <c r="F32" s="5" t="str">
        <f t="shared" si="0"/>
        <v>N</v>
      </c>
    </row>
    <row r="33" spans="1:6" x14ac:dyDescent="0.25">
      <c r="A33" s="10"/>
      <c r="B33" s="5" t="s">
        <v>55</v>
      </c>
      <c r="C33" s="5" t="s">
        <v>55</v>
      </c>
      <c r="D33" s="5" t="str">
        <f>IF(B33=C33,"Y","N")</f>
        <v>Y</v>
      </c>
      <c r="E33" s="19" t="s">
        <v>70</v>
      </c>
      <c r="F33" s="5" t="str">
        <f t="shared" si="0"/>
        <v>N</v>
      </c>
    </row>
    <row r="34" spans="1:6" x14ac:dyDescent="0.25">
      <c r="A34" s="10"/>
      <c r="B34" s="5" t="s">
        <v>57</v>
      </c>
      <c r="C34" s="5" t="s">
        <v>57</v>
      </c>
      <c r="D34" s="5" t="str">
        <f>IF(B34=C34,"Y","N")</f>
        <v>Y</v>
      </c>
      <c r="E34" s="19" t="s">
        <v>72</v>
      </c>
      <c r="F34" s="5" t="str">
        <f t="shared" si="0"/>
        <v>N</v>
      </c>
    </row>
    <row r="35" spans="1:6" x14ac:dyDescent="0.25">
      <c r="A35" s="10"/>
      <c r="B35" s="5" t="s">
        <v>59</v>
      </c>
      <c r="C35" s="5" t="s">
        <v>59</v>
      </c>
      <c r="D35" s="5" t="str">
        <f>IF(B35=C35,"Y","N")</f>
        <v>Y</v>
      </c>
      <c r="E35" s="19" t="s">
        <v>74</v>
      </c>
      <c r="F35" s="5" t="str">
        <f t="shared" si="0"/>
        <v>N</v>
      </c>
    </row>
    <row r="36" spans="1:6" x14ac:dyDescent="0.25">
      <c r="A36" s="10"/>
      <c r="B36" s="5" t="s">
        <v>61</v>
      </c>
      <c r="C36" s="5" t="s">
        <v>61</v>
      </c>
      <c r="D36" s="5" t="str">
        <f>IF(B36=C36,"Y","N")</f>
        <v>Y</v>
      </c>
      <c r="E36" s="19" t="s">
        <v>76</v>
      </c>
      <c r="F36" s="5" t="str">
        <f t="shared" si="0"/>
        <v>N</v>
      </c>
    </row>
    <row r="37" spans="1:6" x14ac:dyDescent="0.25">
      <c r="A37" s="10"/>
      <c r="B37" s="5" t="s">
        <v>63</v>
      </c>
      <c r="C37" s="5" t="s">
        <v>63</v>
      </c>
      <c r="D37" s="5" t="str">
        <f>IF(B37=C37,"Y","N")</f>
        <v>Y</v>
      </c>
      <c r="E37" s="19" t="s">
        <v>78</v>
      </c>
      <c r="F37" s="5" t="str">
        <f t="shared" si="0"/>
        <v>N</v>
      </c>
    </row>
    <row r="38" spans="1:6" x14ac:dyDescent="0.25">
      <c r="A38" s="10"/>
      <c r="B38" s="5" t="s">
        <v>65</v>
      </c>
      <c r="C38" s="5" t="s">
        <v>65</v>
      </c>
      <c r="D38" s="5" t="str">
        <f>IF(B38=C38,"Y","N")</f>
        <v>Y</v>
      </c>
      <c r="E38" s="19" t="s">
        <v>80</v>
      </c>
      <c r="F38" s="5" t="str">
        <f t="shared" si="0"/>
        <v>N</v>
      </c>
    </row>
    <row r="39" spans="1:6" x14ac:dyDescent="0.25">
      <c r="A39" s="10"/>
      <c r="B39" s="5" t="s">
        <v>67</v>
      </c>
      <c r="C39" s="5" t="s">
        <v>67</v>
      </c>
      <c r="D39" s="5" t="str">
        <f>IF(B39=C39,"Y","N")</f>
        <v>Y</v>
      </c>
      <c r="E39" s="19" t="s">
        <v>82</v>
      </c>
      <c r="F39" s="5" t="str">
        <f t="shared" si="0"/>
        <v>N</v>
      </c>
    </row>
    <row r="40" spans="1:6" x14ac:dyDescent="0.25">
      <c r="A40" s="10"/>
      <c r="B40" s="5" t="s">
        <v>69</v>
      </c>
      <c r="C40" s="5" t="s">
        <v>69</v>
      </c>
      <c r="D40" s="5" t="str">
        <f>IF(B40=C40,"Y","N")</f>
        <v>Y</v>
      </c>
      <c r="E40" s="19" t="s">
        <v>84</v>
      </c>
      <c r="F40" s="5" t="str">
        <f t="shared" si="0"/>
        <v>N</v>
      </c>
    </row>
    <row r="41" spans="1:6" x14ac:dyDescent="0.25">
      <c r="A41" s="10"/>
      <c r="B41" s="5" t="s">
        <v>71</v>
      </c>
      <c r="C41" s="5" t="s">
        <v>71</v>
      </c>
      <c r="D41" s="5" t="str">
        <f>IF(B41=C41,"Y","N")</f>
        <v>Y</v>
      </c>
      <c r="E41" s="19" t="s">
        <v>71</v>
      </c>
      <c r="F41" s="5" t="str">
        <f t="shared" si="0"/>
        <v>Y</v>
      </c>
    </row>
    <row r="42" spans="1:6" x14ac:dyDescent="0.25">
      <c r="A42" s="10"/>
      <c r="B42" s="5" t="s">
        <v>73</v>
      </c>
      <c r="C42" s="5" t="s">
        <v>73</v>
      </c>
      <c r="D42" s="5" t="str">
        <f>IF(B42=C42,"Y","N")</f>
        <v>Y</v>
      </c>
      <c r="E42" s="19" t="s">
        <v>73</v>
      </c>
      <c r="F42" s="5" t="str">
        <f t="shared" si="0"/>
        <v>Y</v>
      </c>
    </row>
    <row r="43" spans="1:6" x14ac:dyDescent="0.25">
      <c r="A43" s="10"/>
      <c r="B43" s="5" t="s">
        <v>75</v>
      </c>
      <c r="C43" s="5" t="s">
        <v>75</v>
      </c>
      <c r="D43" s="5" t="str">
        <f>IF(B43=C43,"Y","N")</f>
        <v>Y</v>
      </c>
      <c r="E43" s="19" t="s">
        <v>75</v>
      </c>
      <c r="F43" s="5" t="str">
        <f t="shared" si="0"/>
        <v>Y</v>
      </c>
    </row>
    <row r="44" spans="1:6" x14ac:dyDescent="0.25">
      <c r="A44" s="10"/>
      <c r="B44" s="5" t="s">
        <v>77</v>
      </c>
      <c r="C44" s="5" t="s">
        <v>77</v>
      </c>
      <c r="D44" s="5" t="str">
        <f>IF(B44=C44,"Y","N")</f>
        <v>Y</v>
      </c>
      <c r="E44" s="19" t="s">
        <v>77</v>
      </c>
      <c r="F44" s="5" t="str">
        <f t="shared" si="0"/>
        <v>Y</v>
      </c>
    </row>
    <row r="45" spans="1:6" x14ac:dyDescent="0.25">
      <c r="A45" s="10"/>
      <c r="B45" s="5" t="s">
        <v>79</v>
      </c>
      <c r="C45" s="5" t="s">
        <v>79</v>
      </c>
      <c r="D45" s="5" t="str">
        <f>IF(B45=C45,"Y","N")</f>
        <v>Y</v>
      </c>
      <c r="E45" s="19" t="s">
        <v>79</v>
      </c>
      <c r="F45" s="5" t="str">
        <f t="shared" si="0"/>
        <v>Y</v>
      </c>
    </row>
    <row r="46" spans="1:6" x14ac:dyDescent="0.25">
      <c r="A46" s="10"/>
      <c r="B46" s="5" t="s">
        <v>81</v>
      </c>
      <c r="C46" s="5" t="s">
        <v>81</v>
      </c>
      <c r="D46" s="5" t="str">
        <f>IF(B46=C46,"Y","N")</f>
        <v>Y</v>
      </c>
      <c r="E46" s="19" t="s">
        <v>81</v>
      </c>
      <c r="F46" s="5" t="str">
        <f t="shared" si="0"/>
        <v>Y</v>
      </c>
    </row>
    <row r="47" spans="1:6" x14ac:dyDescent="0.25">
      <c r="A47" s="10"/>
      <c r="B47" s="5" t="s">
        <v>83</v>
      </c>
      <c r="C47" s="5" t="s">
        <v>83</v>
      </c>
      <c r="D47" s="5" t="str">
        <f>IF(B47=C47,"Y","N")</f>
        <v>Y</v>
      </c>
      <c r="E47" s="19" t="s">
        <v>83</v>
      </c>
      <c r="F47" s="5" t="str">
        <f t="shared" si="0"/>
        <v>Y</v>
      </c>
    </row>
    <row r="48" spans="1:6" x14ac:dyDescent="0.25">
      <c r="A48" s="10"/>
      <c r="B48" s="5" t="s">
        <v>85</v>
      </c>
      <c r="C48" s="5" t="s">
        <v>85</v>
      </c>
      <c r="D48" s="5" t="str">
        <f>IF(B48=C48,"Y","N")</f>
        <v>Y</v>
      </c>
      <c r="E48" s="19" t="s">
        <v>85</v>
      </c>
      <c r="F48" s="5" t="str">
        <f t="shared" si="0"/>
        <v>Y</v>
      </c>
    </row>
    <row r="49" spans="1:9" x14ac:dyDescent="0.25">
      <c r="A49" s="10"/>
      <c r="B49" s="5" t="s">
        <v>86</v>
      </c>
      <c r="C49" s="5" t="s">
        <v>86</v>
      </c>
      <c r="D49" s="5" t="str">
        <f>IF(B49=C49,"Y","N")</f>
        <v>Y</v>
      </c>
      <c r="E49" s="19" t="s">
        <v>86</v>
      </c>
      <c r="F49" s="5" t="str">
        <f t="shared" si="0"/>
        <v>Y</v>
      </c>
      <c r="I49"/>
    </row>
    <row r="50" spans="1:9" x14ac:dyDescent="0.25">
      <c r="A50" s="10"/>
      <c r="B50" s="5" t="s">
        <v>88</v>
      </c>
      <c r="C50" s="5" t="s">
        <v>88</v>
      </c>
      <c r="D50" s="5" t="str">
        <f>IF(B50=C50,"Y","N")</f>
        <v>Y</v>
      </c>
      <c r="E50" s="19" t="s">
        <v>88</v>
      </c>
      <c r="F50" s="5" t="str">
        <f t="shared" si="0"/>
        <v>Y</v>
      </c>
    </row>
    <row r="51" spans="1:9" x14ac:dyDescent="0.25">
      <c r="A51" s="10"/>
      <c r="B51" s="5" t="s">
        <v>89</v>
      </c>
      <c r="C51" s="5" t="s">
        <v>89</v>
      </c>
      <c r="D51" s="5" t="str">
        <f>IF(B51=C51,"Y","N")</f>
        <v>Y</v>
      </c>
      <c r="E51" s="19" t="s">
        <v>89</v>
      </c>
      <c r="F51" s="5" t="str">
        <f t="shared" si="0"/>
        <v>Y</v>
      </c>
    </row>
    <row r="52" spans="1:9" x14ac:dyDescent="0.25">
      <c r="A52" s="10"/>
      <c r="B52" s="5" t="s">
        <v>90</v>
      </c>
      <c r="C52" s="5" t="s">
        <v>90</v>
      </c>
      <c r="D52" s="5" t="str">
        <f>IF(B52=C52,"Y","N")</f>
        <v>Y</v>
      </c>
      <c r="E52" s="19" t="s">
        <v>90</v>
      </c>
      <c r="F52" s="5" t="str">
        <f t="shared" si="0"/>
        <v>Y</v>
      </c>
    </row>
    <row r="53" spans="1:9" x14ac:dyDescent="0.25">
      <c r="A53" s="10"/>
      <c r="B53" s="5" t="s">
        <v>178</v>
      </c>
      <c r="C53" s="5" t="s">
        <v>178</v>
      </c>
      <c r="D53" s="5" t="str">
        <f>IF(B53=C53,"Y","N")</f>
        <v>Y</v>
      </c>
      <c r="E53" s="19" t="s">
        <v>178</v>
      </c>
      <c r="F53" s="5" t="str">
        <f t="shared" si="0"/>
        <v>Y</v>
      </c>
    </row>
    <row r="54" spans="1:9" x14ac:dyDescent="0.25">
      <c r="A54" s="10"/>
      <c r="B54" s="5" t="s">
        <v>179</v>
      </c>
      <c r="C54" s="5" t="s">
        <v>179</v>
      </c>
      <c r="D54" s="5" t="str">
        <f>IF(B54=C54,"Y","N")</f>
        <v>Y</v>
      </c>
      <c r="E54" s="19" t="s">
        <v>179</v>
      </c>
      <c r="F54" s="5" t="str">
        <f t="shared" si="0"/>
        <v>Y</v>
      </c>
    </row>
    <row r="55" spans="1:9" x14ac:dyDescent="0.25">
      <c r="A55" s="10"/>
      <c r="B55" s="5" t="s">
        <v>180</v>
      </c>
      <c r="C55" s="5" t="s">
        <v>180</v>
      </c>
      <c r="D55" s="5" t="str">
        <f>IF(B55=C55,"Y","N")</f>
        <v>Y</v>
      </c>
      <c r="E55" s="19" t="s">
        <v>181</v>
      </c>
      <c r="F55" s="5" t="str">
        <f t="shared" si="0"/>
        <v>N</v>
      </c>
      <c r="I55"/>
    </row>
    <row r="56" spans="1:9" x14ac:dyDescent="0.25">
      <c r="A56" s="10"/>
      <c r="B56" s="5" t="s">
        <v>91</v>
      </c>
      <c r="C56" s="5" t="s">
        <v>91</v>
      </c>
      <c r="D56" s="5" t="str">
        <f>IF(B56=C56,"Y","N")</f>
        <v>Y</v>
      </c>
      <c r="E56" s="19" t="s">
        <v>91</v>
      </c>
      <c r="F56" s="5" t="str">
        <f t="shared" si="0"/>
        <v>Y</v>
      </c>
    </row>
    <row r="57" spans="1:9" x14ac:dyDescent="0.25">
      <c r="A57" s="10"/>
      <c r="B57" s="5" t="s">
        <v>92</v>
      </c>
      <c r="C57" s="5" t="s">
        <v>92</v>
      </c>
      <c r="D57" s="5" t="str">
        <f>IF(B57=C57,"Y","N")</f>
        <v>Y</v>
      </c>
      <c r="E57" s="19" t="s">
        <v>92</v>
      </c>
      <c r="F57" s="5" t="str">
        <f t="shared" si="0"/>
        <v>Y</v>
      </c>
    </row>
    <row r="58" spans="1:9" x14ac:dyDescent="0.25">
      <c r="A58" s="10"/>
      <c r="B58" s="5" t="s">
        <v>93</v>
      </c>
      <c r="C58" s="5" t="s">
        <v>93</v>
      </c>
      <c r="D58" s="5" t="str">
        <f>IF(B58=C58,"Y","N")</f>
        <v>Y</v>
      </c>
      <c r="E58" s="19" t="s">
        <v>93</v>
      </c>
      <c r="F58" s="5" t="str">
        <f t="shared" si="0"/>
        <v>Y</v>
      </c>
    </row>
    <row r="59" spans="1:9" x14ac:dyDescent="0.25">
      <c r="A59" s="10"/>
      <c r="B59" s="5" t="s">
        <v>95</v>
      </c>
      <c r="C59" s="5" t="s">
        <v>95</v>
      </c>
      <c r="D59" s="5" t="str">
        <f>IF(B59=C59,"Y","N")</f>
        <v>Y</v>
      </c>
      <c r="E59" s="19" t="s">
        <v>95</v>
      </c>
      <c r="F59" s="5" t="str">
        <f t="shared" si="0"/>
        <v>Y</v>
      </c>
      <c r="I59"/>
    </row>
    <row r="60" spans="1:9" x14ac:dyDescent="0.25">
      <c r="A60" s="10"/>
      <c r="B60" s="5" t="s">
        <v>96</v>
      </c>
      <c r="C60" s="5" t="s">
        <v>96</v>
      </c>
      <c r="D60" s="5" t="str">
        <f>IF(B60=C60,"Y","N")</f>
        <v>Y</v>
      </c>
      <c r="E60" s="19" t="s">
        <v>96</v>
      </c>
      <c r="F60" s="5" t="str">
        <f t="shared" si="0"/>
        <v>Y</v>
      </c>
    </row>
    <row r="61" spans="1:9" x14ac:dyDescent="0.25">
      <c r="A61" s="10"/>
      <c r="B61" s="5" t="s">
        <v>97</v>
      </c>
      <c r="C61" s="5" t="s">
        <v>97</v>
      </c>
      <c r="D61" s="5" t="str">
        <f>IF(B61=C61,"Y","N")</f>
        <v>Y</v>
      </c>
      <c r="E61" s="19" t="s">
        <v>97</v>
      </c>
      <c r="F61" s="5" t="str">
        <f t="shared" si="0"/>
        <v>Y</v>
      </c>
    </row>
    <row r="62" spans="1:9" x14ac:dyDescent="0.25">
      <c r="A62" s="10"/>
      <c r="B62" s="5" t="s">
        <v>98</v>
      </c>
      <c r="C62" s="5" t="s">
        <v>98</v>
      </c>
      <c r="D62" s="5" t="str">
        <f>IF(B62=C62,"Y","N")</f>
        <v>Y</v>
      </c>
      <c r="E62" s="19" t="s">
        <v>98</v>
      </c>
      <c r="F62" s="5" t="str">
        <f t="shared" si="0"/>
        <v>Y</v>
      </c>
    </row>
    <row r="63" spans="1:9" x14ac:dyDescent="0.25">
      <c r="A63" s="10"/>
      <c r="B63" s="5" t="s">
        <v>100</v>
      </c>
      <c r="C63" s="5" t="s">
        <v>100</v>
      </c>
      <c r="D63" s="5" t="str">
        <f>IF(B63=C63,"Y","N")</f>
        <v>Y</v>
      </c>
      <c r="E63" s="19" t="s">
        <v>100</v>
      </c>
      <c r="F63" s="5" t="str">
        <f t="shared" si="0"/>
        <v>Y</v>
      </c>
      <c r="I63"/>
    </row>
    <row r="64" spans="1:9" x14ac:dyDescent="0.25">
      <c r="A64" s="10"/>
      <c r="B64" s="5" t="s">
        <v>101</v>
      </c>
      <c r="C64" s="5" t="s">
        <v>101</v>
      </c>
      <c r="D64" s="5" t="str">
        <f>IF(B64=C64,"Y","N")</f>
        <v>Y</v>
      </c>
      <c r="E64" s="19" t="s">
        <v>101</v>
      </c>
      <c r="F64" s="5" t="str">
        <f t="shared" si="0"/>
        <v>Y</v>
      </c>
    </row>
    <row r="65" spans="1:9" x14ac:dyDescent="0.25">
      <c r="A65" s="10"/>
      <c r="B65" s="5" t="s">
        <v>102</v>
      </c>
      <c r="C65" s="5" t="s">
        <v>102</v>
      </c>
      <c r="D65" s="5" t="str">
        <f>IF(B65=C65,"Y","N")</f>
        <v>Y</v>
      </c>
      <c r="E65" s="19" t="s">
        <v>102</v>
      </c>
      <c r="F65" s="5" t="str">
        <f t="shared" si="0"/>
        <v>Y</v>
      </c>
    </row>
    <row r="66" spans="1:9" x14ac:dyDescent="0.25">
      <c r="A66" s="10"/>
      <c r="B66" s="5" t="s">
        <v>103</v>
      </c>
      <c r="C66" s="5" t="s">
        <v>103</v>
      </c>
      <c r="D66" s="5" t="str">
        <f>IF(B66=C66,"Y","N")</f>
        <v>Y</v>
      </c>
      <c r="E66" s="19" t="s">
        <v>103</v>
      </c>
      <c r="F66" s="5" t="str">
        <f t="shared" si="0"/>
        <v>Y</v>
      </c>
    </row>
    <row r="67" spans="1:9" x14ac:dyDescent="0.25">
      <c r="A67" s="10"/>
      <c r="B67" s="5" t="s">
        <v>105</v>
      </c>
      <c r="C67" s="5" t="s">
        <v>105</v>
      </c>
      <c r="D67" s="5" t="str">
        <f>IF(B67=C67,"Y","N")</f>
        <v>Y</v>
      </c>
      <c r="E67" s="19" t="s">
        <v>105</v>
      </c>
      <c r="F67" s="5" t="str">
        <f t="shared" si="0"/>
        <v>Y</v>
      </c>
    </row>
    <row r="68" spans="1:9" x14ac:dyDescent="0.25">
      <c r="A68" s="10"/>
      <c r="B68" s="5" t="s">
        <v>106</v>
      </c>
      <c r="C68" s="5" t="s">
        <v>106</v>
      </c>
      <c r="D68" s="5" t="str">
        <f>IF(B68=C68,"Y","N")</f>
        <v>Y</v>
      </c>
      <c r="E68" s="19" t="s">
        <v>106</v>
      </c>
      <c r="F68" s="5" t="str">
        <f t="shared" ref="F68:F71" si="1">IF(C68=E68,"Y","N")</f>
        <v>Y</v>
      </c>
      <c r="I68"/>
    </row>
    <row r="69" spans="1:9" x14ac:dyDescent="0.25">
      <c r="A69" s="10"/>
      <c r="B69" s="5" t="s">
        <v>110</v>
      </c>
      <c r="C69" s="5" t="s">
        <v>110</v>
      </c>
      <c r="D69" s="5" t="str">
        <f>IF(B69=C69,"Y","N")</f>
        <v>Y</v>
      </c>
      <c r="E69" s="19" t="s">
        <v>110</v>
      </c>
      <c r="F69" s="5" t="str">
        <f t="shared" si="1"/>
        <v>Y</v>
      </c>
      <c r="I69"/>
    </row>
    <row r="70" spans="1:9" x14ac:dyDescent="0.25">
      <c r="A70" s="10"/>
      <c r="B70" s="5" t="s">
        <v>111</v>
      </c>
      <c r="C70" s="5" t="s">
        <v>111</v>
      </c>
      <c r="D70" s="5" t="str">
        <f>IF(B70=C70,"Y","N")</f>
        <v>Y</v>
      </c>
      <c r="E70" s="19" t="s">
        <v>121</v>
      </c>
      <c r="F70" s="5" t="str">
        <f t="shared" si="1"/>
        <v>N</v>
      </c>
    </row>
    <row r="71" spans="1:9" x14ac:dyDescent="0.25">
      <c r="A71" s="10"/>
      <c r="B71" s="5" t="s">
        <v>112</v>
      </c>
      <c r="C71" s="5" t="s">
        <v>112</v>
      </c>
      <c r="D71" s="5" t="str">
        <f>IF(B71=C71,"Y","N")</f>
        <v>Y</v>
      </c>
      <c r="E71" s="19" t="s">
        <v>122</v>
      </c>
      <c r="F71" s="5" t="str">
        <f t="shared" si="1"/>
        <v>N</v>
      </c>
    </row>
  </sheetData>
  <autoFilter ref="A2:J71" xr:uid="{00000000-0001-0000-0B00-000000000000}"/>
  <conditionalFormatting sqref="E1 D47 D48:E51 D52:D54 D2:E22 D23 I49 D24:E46 D55:E1048576">
    <cfRule type="cellIs" dxfId="41" priority="3" operator="equal">
      <formula>"N"</formula>
    </cfRule>
  </conditionalFormatting>
  <conditionalFormatting sqref="G24">
    <cfRule type="cellIs" dxfId="40" priority="2" operator="equal">
      <formula>"N"</formula>
    </cfRule>
  </conditionalFormatting>
  <conditionalFormatting sqref="F3:F71">
    <cfRule type="cellIs" dxfId="39" priority="1" operator="equal">
      <formula>"N"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182</v>
      </c>
      <c r="C2" s="12" t="s">
        <v>184</v>
      </c>
      <c r="D2" s="5" t="s">
        <v>336</v>
      </c>
      <c r="E2" s="12" t="s">
        <v>183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19" t="s">
        <v>30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19" t="s">
        <v>32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36</v>
      </c>
      <c r="C19" s="5" t="s">
        <v>36</v>
      </c>
      <c r="D19" s="5" t="str">
        <f>IF(B19=C19,"Y","N")</f>
        <v>Y</v>
      </c>
      <c r="E19" s="19" t="s">
        <v>36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38</v>
      </c>
      <c r="C20" s="5" t="s">
        <v>38</v>
      </c>
      <c r="D20" s="5" t="str">
        <f>IF(B20=C20,"Y","N")</f>
        <v>Y</v>
      </c>
      <c r="E20" s="19" t="s">
        <v>38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42</v>
      </c>
      <c r="C21" s="5" t="s">
        <v>42</v>
      </c>
      <c r="D21" s="5" t="str">
        <f>IF(B21=C21,"Y","N")</f>
        <v>Y</v>
      </c>
      <c r="E21" s="19" t="s">
        <v>42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44</v>
      </c>
      <c r="C22" s="5" t="s">
        <v>44</v>
      </c>
      <c r="D22" s="5" t="str">
        <f>IF(B22=C22,"Y","N")</f>
        <v>Y</v>
      </c>
      <c r="E22" s="19" t="s">
        <v>44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45</v>
      </c>
      <c r="C23" s="5" t="s">
        <v>45</v>
      </c>
      <c r="D23" s="5" t="str">
        <f>IF(B23=C23,"Y","N")</f>
        <v>Y</v>
      </c>
      <c r="E23" s="6"/>
      <c r="F23" s="5" t="str">
        <f t="shared" si="0"/>
        <v>N</v>
      </c>
      <c r="G23" s="14" t="s">
        <v>341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185</v>
      </c>
      <c r="C24" s="5" t="s">
        <v>185</v>
      </c>
      <c r="D24" s="5" t="str">
        <f>IF(B24=C24,"Y","N")</f>
        <v>Y</v>
      </c>
      <c r="E24" s="19" t="s">
        <v>185</v>
      </c>
      <c r="F24" s="5" t="str">
        <f t="shared" si="0"/>
        <v>Y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46</v>
      </c>
      <c r="C25" s="5" t="s">
        <v>46</v>
      </c>
      <c r="D25" s="5" t="str">
        <f>IF(B25=C25,"Y","N")</f>
        <v>Y</v>
      </c>
      <c r="E25" s="19" t="s">
        <v>46</v>
      </c>
      <c r="F25" s="5" t="str">
        <f t="shared" si="0"/>
        <v>Y</v>
      </c>
    </row>
    <row r="26" spans="1:10" x14ac:dyDescent="0.25">
      <c r="A26" s="10"/>
      <c r="B26" s="5" t="s">
        <v>47</v>
      </c>
      <c r="C26" s="5" t="s">
        <v>47</v>
      </c>
      <c r="D26" s="5" t="str">
        <f>IF(B26=C26,"Y","N")</f>
        <v>Y</v>
      </c>
      <c r="E26" s="19" t="s">
        <v>56</v>
      </c>
      <c r="F26" s="5" t="str">
        <f t="shared" si="0"/>
        <v>N</v>
      </c>
    </row>
    <row r="27" spans="1:10" x14ac:dyDescent="0.25">
      <c r="A27" s="10"/>
      <c r="B27" s="5" t="s">
        <v>48</v>
      </c>
      <c r="C27" s="5" t="s">
        <v>48</v>
      </c>
      <c r="D27" s="5" t="str">
        <f>IF(B27=C27,"Y","N")</f>
        <v>Y</v>
      </c>
      <c r="E27" s="19" t="s">
        <v>58</v>
      </c>
      <c r="F27" s="5" t="str">
        <f t="shared" si="0"/>
        <v>N</v>
      </c>
    </row>
    <row r="28" spans="1:10" x14ac:dyDescent="0.25">
      <c r="A28" s="10"/>
      <c r="B28" s="5" t="s">
        <v>49</v>
      </c>
      <c r="C28" s="5" t="s">
        <v>49</v>
      </c>
      <c r="D28" s="5" t="str">
        <f>IF(B28=C28,"Y","N")</f>
        <v>Y</v>
      </c>
      <c r="E28" s="19" t="s">
        <v>60</v>
      </c>
      <c r="F28" s="5" t="str">
        <f t="shared" si="0"/>
        <v>N</v>
      </c>
    </row>
    <row r="29" spans="1:10" x14ac:dyDescent="0.25">
      <c r="A29" s="10"/>
      <c r="B29" s="5" t="s">
        <v>50</v>
      </c>
      <c r="C29" s="5" t="s">
        <v>50</v>
      </c>
      <c r="D29" s="5" t="str">
        <f>IF(B29=C29,"Y","N")</f>
        <v>Y</v>
      </c>
      <c r="E29" s="19" t="s">
        <v>62</v>
      </c>
      <c r="F29" s="5" t="str">
        <f t="shared" si="0"/>
        <v>N</v>
      </c>
      <c r="I29"/>
    </row>
    <row r="30" spans="1:10" x14ac:dyDescent="0.25">
      <c r="A30" s="10"/>
      <c r="B30" s="5" t="s">
        <v>51</v>
      </c>
      <c r="C30" s="5" t="s">
        <v>51</v>
      </c>
      <c r="D30" s="5" t="str">
        <f>IF(B30=C30,"Y","N")</f>
        <v>Y</v>
      </c>
      <c r="E30" s="19" t="s">
        <v>64</v>
      </c>
      <c r="F30" s="5" t="str">
        <f t="shared" si="0"/>
        <v>N</v>
      </c>
    </row>
    <row r="31" spans="1:10" x14ac:dyDescent="0.25">
      <c r="A31" s="10"/>
      <c r="B31" s="5" t="s">
        <v>53</v>
      </c>
      <c r="C31" s="5" t="s">
        <v>53</v>
      </c>
      <c r="D31" s="5" t="str">
        <f>IF(B31=C31,"Y","N")</f>
        <v>Y</v>
      </c>
      <c r="E31" s="19" t="s">
        <v>66</v>
      </c>
      <c r="F31" s="5" t="str">
        <f t="shared" si="0"/>
        <v>N</v>
      </c>
    </row>
    <row r="32" spans="1:10" x14ac:dyDescent="0.25">
      <c r="A32" s="10"/>
      <c r="B32" s="5" t="s">
        <v>54</v>
      </c>
      <c r="C32" s="5" t="s">
        <v>54</v>
      </c>
      <c r="D32" s="5" t="str">
        <f>IF(B32=C32,"Y","N")</f>
        <v>Y</v>
      </c>
      <c r="E32" s="19" t="s">
        <v>68</v>
      </c>
      <c r="F32" s="5" t="str">
        <f t="shared" si="0"/>
        <v>N</v>
      </c>
    </row>
    <row r="33" spans="1:6" x14ac:dyDescent="0.25">
      <c r="A33" s="10"/>
      <c r="B33" s="5" t="s">
        <v>55</v>
      </c>
      <c r="C33" s="5" t="s">
        <v>55</v>
      </c>
      <c r="D33" s="5" t="str">
        <f>IF(B33=C33,"Y","N")</f>
        <v>Y</v>
      </c>
      <c r="E33" s="19" t="s">
        <v>70</v>
      </c>
      <c r="F33" s="5" t="str">
        <f t="shared" si="0"/>
        <v>N</v>
      </c>
    </row>
    <row r="34" spans="1:6" x14ac:dyDescent="0.25">
      <c r="A34" s="10"/>
      <c r="B34" s="5" t="s">
        <v>57</v>
      </c>
      <c r="C34" s="5" t="s">
        <v>57</v>
      </c>
      <c r="D34" s="5" t="str">
        <f>IF(B34=C34,"Y","N")</f>
        <v>Y</v>
      </c>
      <c r="E34" s="19" t="s">
        <v>72</v>
      </c>
      <c r="F34" s="5" t="str">
        <f t="shared" si="0"/>
        <v>N</v>
      </c>
    </row>
    <row r="35" spans="1:6" x14ac:dyDescent="0.25">
      <c r="A35" s="10"/>
      <c r="B35" s="5" t="s">
        <v>59</v>
      </c>
      <c r="C35" s="5" t="s">
        <v>59</v>
      </c>
      <c r="D35" s="5" t="str">
        <f>IF(B35=C35,"Y","N")</f>
        <v>Y</v>
      </c>
      <c r="E35" s="19" t="s">
        <v>74</v>
      </c>
      <c r="F35" s="5" t="str">
        <f t="shared" si="0"/>
        <v>N</v>
      </c>
    </row>
    <row r="36" spans="1:6" x14ac:dyDescent="0.25">
      <c r="A36" s="10"/>
      <c r="B36" s="5" t="s">
        <v>61</v>
      </c>
      <c r="C36" s="5" t="s">
        <v>61</v>
      </c>
      <c r="D36" s="5" t="str">
        <f>IF(B36=C36,"Y","N")</f>
        <v>Y</v>
      </c>
      <c r="E36" s="19" t="s">
        <v>76</v>
      </c>
      <c r="F36" s="5" t="str">
        <f t="shared" si="0"/>
        <v>N</v>
      </c>
    </row>
    <row r="37" spans="1:6" x14ac:dyDescent="0.25">
      <c r="A37" s="10"/>
      <c r="B37" s="5" t="s">
        <v>63</v>
      </c>
      <c r="C37" s="5" t="s">
        <v>63</v>
      </c>
      <c r="D37" s="5" t="str">
        <f>IF(B37=C37,"Y","N")</f>
        <v>Y</v>
      </c>
      <c r="E37" s="19" t="s">
        <v>78</v>
      </c>
      <c r="F37" s="5" t="str">
        <f t="shared" si="0"/>
        <v>N</v>
      </c>
    </row>
    <row r="38" spans="1:6" x14ac:dyDescent="0.25">
      <c r="A38" s="10"/>
      <c r="B38" s="5" t="s">
        <v>65</v>
      </c>
      <c r="C38" s="5" t="s">
        <v>65</v>
      </c>
      <c r="D38" s="5" t="str">
        <f>IF(B38=C38,"Y","N")</f>
        <v>Y</v>
      </c>
      <c r="E38" s="19" t="s">
        <v>80</v>
      </c>
      <c r="F38" s="5" t="str">
        <f t="shared" si="0"/>
        <v>N</v>
      </c>
    </row>
    <row r="39" spans="1:6" x14ac:dyDescent="0.25">
      <c r="A39" s="10"/>
      <c r="B39" s="5" t="s">
        <v>67</v>
      </c>
      <c r="C39" s="5" t="s">
        <v>67</v>
      </c>
      <c r="D39" s="5" t="str">
        <f>IF(B39=C39,"Y","N")</f>
        <v>Y</v>
      </c>
      <c r="E39" s="19" t="s">
        <v>82</v>
      </c>
      <c r="F39" s="5" t="str">
        <f t="shared" si="0"/>
        <v>N</v>
      </c>
    </row>
    <row r="40" spans="1:6" x14ac:dyDescent="0.25">
      <c r="A40" s="10"/>
      <c r="B40" s="5" t="s">
        <v>69</v>
      </c>
      <c r="C40" s="5" t="s">
        <v>69</v>
      </c>
      <c r="D40" s="5" t="str">
        <f>IF(B40=C40,"Y","N")</f>
        <v>Y</v>
      </c>
      <c r="E40" s="19" t="s">
        <v>84</v>
      </c>
      <c r="F40" s="5" t="str">
        <f t="shared" si="0"/>
        <v>N</v>
      </c>
    </row>
    <row r="41" spans="1:6" x14ac:dyDescent="0.25">
      <c r="A41" s="10"/>
      <c r="B41" s="5" t="s">
        <v>71</v>
      </c>
      <c r="C41" s="5" t="s">
        <v>71</v>
      </c>
      <c r="D41" s="5" t="str">
        <f>IF(B41=C41,"Y","N")</f>
        <v>Y</v>
      </c>
      <c r="E41" s="19" t="s">
        <v>71</v>
      </c>
      <c r="F41" s="5" t="str">
        <f t="shared" si="0"/>
        <v>Y</v>
      </c>
    </row>
    <row r="42" spans="1:6" x14ac:dyDescent="0.25">
      <c r="A42" s="10"/>
      <c r="B42" s="5" t="s">
        <v>73</v>
      </c>
      <c r="C42" s="5" t="s">
        <v>73</v>
      </c>
      <c r="D42" s="5" t="str">
        <f>IF(B42=C42,"Y","N")</f>
        <v>Y</v>
      </c>
      <c r="E42" s="19" t="s">
        <v>73</v>
      </c>
      <c r="F42" s="5" t="str">
        <f t="shared" si="0"/>
        <v>Y</v>
      </c>
    </row>
    <row r="43" spans="1:6" x14ac:dyDescent="0.25">
      <c r="A43" s="10"/>
      <c r="B43" s="5" t="s">
        <v>75</v>
      </c>
      <c r="C43" s="5" t="s">
        <v>75</v>
      </c>
      <c r="D43" s="5" t="str">
        <f>IF(B43=C43,"Y","N")</f>
        <v>Y</v>
      </c>
      <c r="E43" s="19" t="s">
        <v>75</v>
      </c>
      <c r="F43" s="5" t="str">
        <f t="shared" si="0"/>
        <v>Y</v>
      </c>
    </row>
    <row r="44" spans="1:6" x14ac:dyDescent="0.25">
      <c r="A44" s="10"/>
      <c r="B44" s="5" t="s">
        <v>77</v>
      </c>
      <c r="C44" s="5" t="s">
        <v>77</v>
      </c>
      <c r="D44" s="5" t="str">
        <f>IF(B44=C44,"Y","N")</f>
        <v>Y</v>
      </c>
      <c r="E44" s="19" t="s">
        <v>77</v>
      </c>
      <c r="F44" s="5" t="str">
        <f t="shared" si="0"/>
        <v>Y</v>
      </c>
    </row>
    <row r="45" spans="1:6" x14ac:dyDescent="0.25">
      <c r="A45" s="10"/>
      <c r="B45" s="5" t="s">
        <v>79</v>
      </c>
      <c r="C45" s="5" t="s">
        <v>79</v>
      </c>
      <c r="D45" s="5" t="str">
        <f>IF(B45=C45,"Y","N")</f>
        <v>Y</v>
      </c>
      <c r="E45" s="19" t="s">
        <v>79</v>
      </c>
      <c r="F45" s="5" t="str">
        <f t="shared" si="0"/>
        <v>Y</v>
      </c>
    </row>
    <row r="46" spans="1:6" x14ac:dyDescent="0.25">
      <c r="A46" s="10"/>
      <c r="B46" s="5" t="s">
        <v>81</v>
      </c>
      <c r="C46" s="5" t="s">
        <v>81</v>
      </c>
      <c r="D46" s="5" t="str">
        <f>IF(B46=C46,"Y","N")</f>
        <v>Y</v>
      </c>
      <c r="E46" s="19" t="s">
        <v>81</v>
      </c>
      <c r="F46" s="5" t="str">
        <f t="shared" si="0"/>
        <v>Y</v>
      </c>
    </row>
    <row r="47" spans="1:6" x14ac:dyDescent="0.25">
      <c r="A47" s="10"/>
      <c r="B47" s="5" t="s">
        <v>83</v>
      </c>
      <c r="C47" s="5" t="s">
        <v>83</v>
      </c>
      <c r="D47" s="5" t="str">
        <f>IF(B47=C47,"Y","N")</f>
        <v>Y</v>
      </c>
      <c r="E47" s="19" t="s">
        <v>83</v>
      </c>
      <c r="F47" s="5" t="str">
        <f t="shared" si="0"/>
        <v>Y</v>
      </c>
    </row>
    <row r="48" spans="1:6" x14ac:dyDescent="0.25">
      <c r="A48" s="10"/>
      <c r="B48" s="5" t="s">
        <v>85</v>
      </c>
      <c r="C48" s="5" t="s">
        <v>85</v>
      </c>
      <c r="D48" s="5" t="str">
        <f>IF(B48=C48,"Y","N")</f>
        <v>Y</v>
      </c>
      <c r="E48" s="19" t="s">
        <v>85</v>
      </c>
      <c r="F48" s="5" t="str">
        <f t="shared" si="0"/>
        <v>Y</v>
      </c>
    </row>
    <row r="49" spans="1:9" x14ac:dyDescent="0.25">
      <c r="A49" s="10"/>
      <c r="B49" s="5" t="s">
        <v>86</v>
      </c>
      <c r="C49" s="5" t="s">
        <v>86</v>
      </c>
      <c r="D49" s="5" t="str">
        <f>IF(B49=C49,"Y","N")</f>
        <v>Y</v>
      </c>
      <c r="E49" s="19" t="s">
        <v>86</v>
      </c>
      <c r="F49" s="5" t="str">
        <f t="shared" si="0"/>
        <v>Y</v>
      </c>
      <c r="I49"/>
    </row>
    <row r="50" spans="1:9" x14ac:dyDescent="0.25">
      <c r="A50" s="10"/>
      <c r="B50" s="5" t="s">
        <v>88</v>
      </c>
      <c r="C50" s="5" t="s">
        <v>88</v>
      </c>
      <c r="D50" s="5" t="str">
        <f>IF(B50=C50,"Y","N")</f>
        <v>Y</v>
      </c>
      <c r="E50" s="19" t="s">
        <v>88</v>
      </c>
      <c r="F50" s="5" t="str">
        <f t="shared" si="0"/>
        <v>Y</v>
      </c>
    </row>
    <row r="51" spans="1:9" x14ac:dyDescent="0.25">
      <c r="A51" s="10"/>
      <c r="B51" s="5" t="s">
        <v>89</v>
      </c>
      <c r="C51" s="5" t="s">
        <v>89</v>
      </c>
      <c r="D51" s="5" t="str">
        <f>IF(B51=C51,"Y","N")</f>
        <v>Y</v>
      </c>
      <c r="E51" s="19" t="s">
        <v>89</v>
      </c>
      <c r="F51" s="5" t="str">
        <f t="shared" si="0"/>
        <v>Y</v>
      </c>
    </row>
    <row r="52" spans="1:9" x14ac:dyDescent="0.25">
      <c r="A52" s="10"/>
      <c r="B52" s="5" t="s">
        <v>186</v>
      </c>
      <c r="C52" s="5" t="s">
        <v>186</v>
      </c>
      <c r="D52" s="5" t="str">
        <f>IF(B52=C52,"Y","N")</f>
        <v>Y</v>
      </c>
      <c r="E52" s="19" t="s">
        <v>188</v>
      </c>
      <c r="F52" s="5" t="str">
        <f t="shared" si="0"/>
        <v>N</v>
      </c>
    </row>
    <row r="53" spans="1:9" x14ac:dyDescent="0.25">
      <c r="A53" s="10"/>
      <c r="B53" s="5" t="s">
        <v>187</v>
      </c>
      <c r="C53" s="5" t="s">
        <v>187</v>
      </c>
      <c r="D53" s="5" t="str">
        <f>IF(B53=C53,"Y","N")</f>
        <v>Y</v>
      </c>
      <c r="E53" s="19" t="s">
        <v>187</v>
      </c>
      <c r="F53" s="5" t="str">
        <f t="shared" si="0"/>
        <v>Y</v>
      </c>
    </row>
    <row r="54" spans="1:9" x14ac:dyDescent="0.25">
      <c r="A54" s="10"/>
      <c r="B54" s="5" t="s">
        <v>90</v>
      </c>
      <c r="C54" s="5" t="s">
        <v>90</v>
      </c>
      <c r="D54" s="5" t="str">
        <f>IF(B54=C54,"Y","N")</f>
        <v>Y</v>
      </c>
      <c r="E54" s="19" t="s">
        <v>90</v>
      </c>
      <c r="F54" s="5" t="str">
        <f t="shared" si="0"/>
        <v>Y</v>
      </c>
    </row>
    <row r="55" spans="1:9" x14ac:dyDescent="0.25">
      <c r="A55" s="10"/>
      <c r="B55" s="5" t="s">
        <v>91</v>
      </c>
      <c r="C55" s="5" t="s">
        <v>91</v>
      </c>
      <c r="D55" s="5" t="str">
        <f>IF(B55=C55,"Y","N")</f>
        <v>Y</v>
      </c>
      <c r="E55" s="19" t="s">
        <v>91</v>
      </c>
      <c r="F55" s="5" t="str">
        <f t="shared" si="0"/>
        <v>Y</v>
      </c>
      <c r="I55"/>
    </row>
    <row r="56" spans="1:9" x14ac:dyDescent="0.25">
      <c r="A56" s="10"/>
      <c r="B56" s="5" t="s">
        <v>92</v>
      </c>
      <c r="C56" s="5" t="s">
        <v>92</v>
      </c>
      <c r="D56" s="5" t="str">
        <f>IF(B56=C56,"Y","N")</f>
        <v>Y</v>
      </c>
      <c r="E56" s="19" t="s">
        <v>92</v>
      </c>
      <c r="F56" s="5" t="str">
        <f t="shared" si="0"/>
        <v>Y</v>
      </c>
    </row>
    <row r="57" spans="1:9" x14ac:dyDescent="0.25">
      <c r="A57" s="10"/>
      <c r="B57" s="5" t="s">
        <v>93</v>
      </c>
      <c r="C57" s="5" t="s">
        <v>93</v>
      </c>
      <c r="D57" s="5" t="str">
        <f>IF(B57=C57,"Y","N")</f>
        <v>Y</v>
      </c>
      <c r="E57" s="19" t="s">
        <v>93</v>
      </c>
      <c r="F57" s="5" t="str">
        <f t="shared" si="0"/>
        <v>Y</v>
      </c>
    </row>
    <row r="58" spans="1:9" x14ac:dyDescent="0.25">
      <c r="A58" s="10"/>
      <c r="B58" s="5" t="s">
        <v>95</v>
      </c>
      <c r="C58" s="5" t="s">
        <v>95</v>
      </c>
      <c r="D58" s="5" t="str">
        <f>IF(B58=C58,"Y","N")</f>
        <v>Y</v>
      </c>
      <c r="E58" s="19" t="s">
        <v>95</v>
      </c>
      <c r="F58" s="5" t="str">
        <f t="shared" si="0"/>
        <v>Y</v>
      </c>
    </row>
    <row r="59" spans="1:9" x14ac:dyDescent="0.25">
      <c r="A59" s="10"/>
      <c r="B59" s="5" t="s">
        <v>96</v>
      </c>
      <c r="C59" s="5" t="s">
        <v>96</v>
      </c>
      <c r="D59" s="5" t="str">
        <f>IF(B59=C59,"Y","N")</f>
        <v>Y</v>
      </c>
      <c r="E59" s="19" t="s">
        <v>96</v>
      </c>
      <c r="F59" s="5" t="str">
        <f t="shared" si="0"/>
        <v>Y</v>
      </c>
      <c r="I59"/>
    </row>
    <row r="60" spans="1:9" x14ac:dyDescent="0.25">
      <c r="A60" s="10"/>
      <c r="B60" s="5" t="s">
        <v>97</v>
      </c>
      <c r="C60" s="5" t="s">
        <v>97</v>
      </c>
      <c r="D60" s="5" t="str">
        <f>IF(B60=C60,"Y","N")</f>
        <v>Y</v>
      </c>
      <c r="E60" s="19" t="s">
        <v>97</v>
      </c>
      <c r="F60" s="5" t="str">
        <f t="shared" si="0"/>
        <v>Y</v>
      </c>
    </row>
    <row r="61" spans="1:9" x14ac:dyDescent="0.25">
      <c r="A61" s="10"/>
      <c r="B61" s="5" t="s">
        <v>98</v>
      </c>
      <c r="C61" s="5" t="s">
        <v>98</v>
      </c>
      <c r="D61" s="5" t="str">
        <f>IF(B61=C61,"Y","N")</f>
        <v>Y</v>
      </c>
      <c r="E61" s="19" t="s">
        <v>98</v>
      </c>
      <c r="F61" s="5" t="str">
        <f t="shared" si="0"/>
        <v>Y</v>
      </c>
    </row>
    <row r="62" spans="1:9" x14ac:dyDescent="0.25">
      <c r="A62" s="10"/>
      <c r="B62" s="5" t="s">
        <v>100</v>
      </c>
      <c r="C62" s="5" t="s">
        <v>100</v>
      </c>
      <c r="D62" s="5" t="str">
        <f>IF(B62=C62,"Y","N")</f>
        <v>Y</v>
      </c>
      <c r="E62" s="19" t="s">
        <v>100</v>
      </c>
      <c r="F62" s="5" t="str">
        <f t="shared" si="0"/>
        <v>Y</v>
      </c>
    </row>
    <row r="63" spans="1:9" x14ac:dyDescent="0.25">
      <c r="A63" s="10"/>
      <c r="B63" s="5" t="s">
        <v>101</v>
      </c>
      <c r="C63" s="5" t="s">
        <v>101</v>
      </c>
      <c r="D63" s="5" t="str">
        <f>IF(B63=C63,"Y","N")</f>
        <v>Y</v>
      </c>
      <c r="E63" s="19" t="s">
        <v>101</v>
      </c>
      <c r="F63" s="5" t="str">
        <f t="shared" si="0"/>
        <v>Y</v>
      </c>
    </row>
    <row r="64" spans="1:9" x14ac:dyDescent="0.25">
      <c r="A64" s="10"/>
      <c r="B64" s="5" t="s">
        <v>102</v>
      </c>
      <c r="C64" s="5" t="s">
        <v>102</v>
      </c>
      <c r="D64" s="5" t="str">
        <f>IF(B64=C64,"Y","N")</f>
        <v>Y</v>
      </c>
      <c r="E64" s="19" t="s">
        <v>102</v>
      </c>
      <c r="F64" s="5" t="str">
        <f t="shared" si="0"/>
        <v>Y</v>
      </c>
    </row>
    <row r="65" spans="1:9" x14ac:dyDescent="0.25">
      <c r="A65" s="10"/>
      <c r="B65" s="5" t="s">
        <v>103</v>
      </c>
      <c r="C65" s="5" t="s">
        <v>103</v>
      </c>
      <c r="D65" s="5" t="str">
        <f>IF(B65=C65,"Y","N")</f>
        <v>Y</v>
      </c>
      <c r="E65" s="19" t="s">
        <v>103</v>
      </c>
      <c r="F65" s="5" t="str">
        <f t="shared" si="0"/>
        <v>Y</v>
      </c>
      <c r="I65"/>
    </row>
    <row r="66" spans="1:9" x14ac:dyDescent="0.25">
      <c r="A66" s="10"/>
      <c r="B66" s="5" t="s">
        <v>105</v>
      </c>
      <c r="C66" s="5" t="s">
        <v>105</v>
      </c>
      <c r="D66" s="5" t="str">
        <f>IF(B66=C66,"Y","N")</f>
        <v>Y</v>
      </c>
      <c r="E66" s="19" t="s">
        <v>105</v>
      </c>
      <c r="F66" s="5" t="str">
        <f t="shared" si="0"/>
        <v>Y</v>
      </c>
    </row>
    <row r="67" spans="1:9" x14ac:dyDescent="0.25">
      <c r="A67" s="10"/>
      <c r="B67" s="5" t="s">
        <v>106</v>
      </c>
      <c r="C67" s="5" t="s">
        <v>106</v>
      </c>
      <c r="D67" s="5" t="str">
        <f>IF(B67=C67,"Y","N")</f>
        <v>Y</v>
      </c>
      <c r="E67" s="19" t="s">
        <v>106</v>
      </c>
      <c r="F67" s="5" t="str">
        <f t="shared" si="0"/>
        <v>Y</v>
      </c>
      <c r="I67"/>
    </row>
    <row r="68" spans="1:9" x14ac:dyDescent="0.25">
      <c r="A68" s="10"/>
      <c r="B68" s="5" t="s">
        <v>110</v>
      </c>
      <c r="C68" s="5" t="s">
        <v>110</v>
      </c>
      <c r="D68" s="5" t="str">
        <f>IF(B68=C68,"Y","N")</f>
        <v>Y</v>
      </c>
      <c r="E68" s="19" t="s">
        <v>110</v>
      </c>
      <c r="F68" s="5" t="str">
        <f t="shared" ref="F68:F71" si="1">IF(C68=E68,"Y","N")</f>
        <v>Y</v>
      </c>
      <c r="I68"/>
    </row>
    <row r="69" spans="1:9" x14ac:dyDescent="0.25">
      <c r="A69" s="10"/>
      <c r="B69" s="5" t="s">
        <v>111</v>
      </c>
      <c r="C69" s="5" t="s">
        <v>111</v>
      </c>
      <c r="D69" s="5" t="str">
        <f>IF(B69=C69,"Y","N")</f>
        <v>Y</v>
      </c>
      <c r="E69" s="19" t="s">
        <v>121</v>
      </c>
      <c r="F69" s="5" t="str">
        <f t="shared" si="1"/>
        <v>N</v>
      </c>
    </row>
    <row r="70" spans="1:9" x14ac:dyDescent="0.25">
      <c r="A70" s="10"/>
      <c r="B70" s="5" t="s">
        <v>112</v>
      </c>
      <c r="C70" s="5" t="s">
        <v>112</v>
      </c>
      <c r="D70" s="5" t="str">
        <f>IF(B70=C70,"Y","N")</f>
        <v>Y</v>
      </c>
      <c r="E70" s="19" t="s">
        <v>122</v>
      </c>
      <c r="F70" s="5" t="str">
        <f t="shared" si="1"/>
        <v>N</v>
      </c>
    </row>
    <row r="71" spans="1:9" x14ac:dyDescent="0.25">
      <c r="A71" s="10"/>
      <c r="B71" s="5" t="s">
        <v>189</v>
      </c>
      <c r="C71" s="5" t="s">
        <v>189</v>
      </c>
      <c r="D71" s="5" t="str">
        <f>IF(B71=C71,"Y","N")</f>
        <v>Y</v>
      </c>
      <c r="E71" s="19" t="s">
        <v>189</v>
      </c>
      <c r="F71" s="5" t="str">
        <f t="shared" si="1"/>
        <v>Y</v>
      </c>
    </row>
  </sheetData>
  <autoFilter ref="A2:J71" xr:uid="{00000000-0001-0000-0C00-000000000000}"/>
  <conditionalFormatting sqref="E1 D47 D48:E51 D52:D54 I49 D2:E46 D55:E1048576">
    <cfRule type="cellIs" dxfId="38" priority="3" operator="equal">
      <formula>"N"</formula>
    </cfRule>
  </conditionalFormatting>
  <conditionalFormatting sqref="G23">
    <cfRule type="cellIs" dxfId="37" priority="2" operator="equal">
      <formula>"N"</formula>
    </cfRule>
  </conditionalFormatting>
  <conditionalFormatting sqref="F3:F71">
    <cfRule type="cellIs" dxfId="36" priority="1" operator="equal">
      <formula>"N"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8.42578125" style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190</v>
      </c>
      <c r="C2" s="12" t="s">
        <v>192</v>
      </c>
      <c r="D2" s="5" t="s">
        <v>336</v>
      </c>
      <c r="E2" s="12" t="s">
        <v>191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19" t="s">
        <v>30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19" t="s">
        <v>32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36</v>
      </c>
      <c r="C19" s="5" t="s">
        <v>36</v>
      </c>
      <c r="D19" s="5" t="str">
        <f>IF(B19=C19,"Y","N")</f>
        <v>Y</v>
      </c>
      <c r="E19" s="19" t="s">
        <v>36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38</v>
      </c>
      <c r="C20" s="5" t="s">
        <v>38</v>
      </c>
      <c r="D20" s="5" t="str">
        <f>IF(B20=C20,"Y","N")</f>
        <v>Y</v>
      </c>
      <c r="E20" s="19" t="s">
        <v>38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42</v>
      </c>
      <c r="C21" s="5" t="s">
        <v>42</v>
      </c>
      <c r="D21" s="5" t="str">
        <f>IF(B21=C21,"Y","N")</f>
        <v>Y</v>
      </c>
      <c r="E21" s="19" t="s">
        <v>42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44</v>
      </c>
      <c r="C22" s="5" t="s">
        <v>44</v>
      </c>
      <c r="D22" s="5" t="str">
        <f>IF(B22=C22,"Y","N")</f>
        <v>Y</v>
      </c>
      <c r="E22" s="19" t="s">
        <v>44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45</v>
      </c>
      <c r="C23" s="5" t="s">
        <v>45</v>
      </c>
      <c r="D23" s="5" t="str">
        <f>IF(B23=C23,"Y","N")</f>
        <v>Y</v>
      </c>
      <c r="E23" s="6"/>
      <c r="F23" s="5" t="str">
        <f t="shared" si="0"/>
        <v>N</v>
      </c>
      <c r="G23" s="14" t="s">
        <v>341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193</v>
      </c>
      <c r="C24" s="5" t="s">
        <v>193</v>
      </c>
      <c r="D24" s="5" t="str">
        <f>IF(B24=C24,"Y","N")</f>
        <v>Y</v>
      </c>
      <c r="E24" s="19" t="s">
        <v>193</v>
      </c>
      <c r="F24" s="5" t="str">
        <f t="shared" si="0"/>
        <v>Y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46</v>
      </c>
      <c r="C25" s="5" t="s">
        <v>46</v>
      </c>
      <c r="D25" s="5" t="str">
        <f>IF(B25=C25,"Y","N")</f>
        <v>Y</v>
      </c>
      <c r="E25" s="19" t="s">
        <v>46</v>
      </c>
      <c r="F25" s="5" t="str">
        <f t="shared" si="0"/>
        <v>Y</v>
      </c>
    </row>
    <row r="26" spans="1:10" x14ac:dyDescent="0.25">
      <c r="A26" s="10"/>
      <c r="B26" s="5" t="s">
        <v>47</v>
      </c>
      <c r="C26" s="5" t="s">
        <v>47</v>
      </c>
      <c r="D26" s="5" t="str">
        <f>IF(B26=C26,"Y","N")</f>
        <v>Y</v>
      </c>
      <c r="E26" s="19" t="s">
        <v>56</v>
      </c>
      <c r="F26" s="5" t="str">
        <f t="shared" si="0"/>
        <v>N</v>
      </c>
    </row>
    <row r="27" spans="1:10" x14ac:dyDescent="0.25">
      <c r="A27" s="10"/>
      <c r="B27" s="5" t="s">
        <v>48</v>
      </c>
      <c r="C27" s="5" t="s">
        <v>48</v>
      </c>
      <c r="D27" s="5" t="str">
        <f>IF(B27=C27,"Y","N")</f>
        <v>Y</v>
      </c>
      <c r="E27" s="19" t="s">
        <v>58</v>
      </c>
      <c r="F27" s="5" t="str">
        <f t="shared" si="0"/>
        <v>N</v>
      </c>
    </row>
    <row r="28" spans="1:10" x14ac:dyDescent="0.25">
      <c r="A28" s="10"/>
      <c r="B28" s="5" t="s">
        <v>49</v>
      </c>
      <c r="C28" s="5" t="s">
        <v>49</v>
      </c>
      <c r="D28" s="5" t="str">
        <f>IF(B28=C28,"Y","N")</f>
        <v>Y</v>
      </c>
      <c r="E28" s="19" t="s">
        <v>60</v>
      </c>
      <c r="F28" s="5" t="str">
        <f t="shared" si="0"/>
        <v>N</v>
      </c>
    </row>
    <row r="29" spans="1:10" x14ac:dyDescent="0.25">
      <c r="A29" s="10"/>
      <c r="B29" s="5" t="s">
        <v>50</v>
      </c>
      <c r="C29" s="5" t="s">
        <v>50</v>
      </c>
      <c r="D29" s="5" t="str">
        <f>IF(B29=C29,"Y","N")</f>
        <v>Y</v>
      </c>
      <c r="E29" s="19" t="s">
        <v>62</v>
      </c>
      <c r="F29" s="5" t="str">
        <f t="shared" si="0"/>
        <v>N</v>
      </c>
      <c r="I29"/>
    </row>
    <row r="30" spans="1:10" x14ac:dyDescent="0.25">
      <c r="A30" s="10"/>
      <c r="B30" s="5" t="s">
        <v>51</v>
      </c>
      <c r="C30" s="5" t="s">
        <v>51</v>
      </c>
      <c r="D30" s="5" t="str">
        <f>IF(B30=C30,"Y","N")</f>
        <v>Y</v>
      </c>
      <c r="E30" s="19" t="s">
        <v>64</v>
      </c>
      <c r="F30" s="5" t="str">
        <f t="shared" si="0"/>
        <v>N</v>
      </c>
    </row>
    <row r="31" spans="1:10" x14ac:dyDescent="0.25">
      <c r="A31" s="10"/>
      <c r="B31" s="5" t="s">
        <v>53</v>
      </c>
      <c r="C31" s="5" t="s">
        <v>53</v>
      </c>
      <c r="D31" s="5" t="str">
        <f>IF(B31=C31,"Y","N")</f>
        <v>Y</v>
      </c>
      <c r="E31" s="19" t="s">
        <v>66</v>
      </c>
      <c r="F31" s="5" t="str">
        <f t="shared" si="0"/>
        <v>N</v>
      </c>
    </row>
    <row r="32" spans="1:10" x14ac:dyDescent="0.25">
      <c r="A32" s="10"/>
      <c r="B32" s="5" t="s">
        <v>54</v>
      </c>
      <c r="C32" s="5" t="s">
        <v>54</v>
      </c>
      <c r="D32" s="5" t="str">
        <f>IF(B32=C32,"Y","N")</f>
        <v>Y</v>
      </c>
      <c r="E32" s="19" t="s">
        <v>68</v>
      </c>
      <c r="F32" s="5" t="str">
        <f t="shared" si="0"/>
        <v>N</v>
      </c>
    </row>
    <row r="33" spans="1:6" x14ac:dyDescent="0.25">
      <c r="A33" s="10"/>
      <c r="B33" s="5" t="s">
        <v>55</v>
      </c>
      <c r="C33" s="5" t="s">
        <v>55</v>
      </c>
      <c r="D33" s="5" t="str">
        <f>IF(B33=C33,"Y","N")</f>
        <v>Y</v>
      </c>
      <c r="E33" s="19" t="s">
        <v>70</v>
      </c>
      <c r="F33" s="5" t="str">
        <f t="shared" si="0"/>
        <v>N</v>
      </c>
    </row>
    <row r="34" spans="1:6" x14ac:dyDescent="0.25">
      <c r="A34" s="10"/>
      <c r="B34" s="5" t="s">
        <v>57</v>
      </c>
      <c r="C34" s="5" t="s">
        <v>57</v>
      </c>
      <c r="D34" s="5" t="str">
        <f>IF(B34=C34,"Y","N")</f>
        <v>Y</v>
      </c>
      <c r="E34" s="19" t="s">
        <v>72</v>
      </c>
      <c r="F34" s="5" t="str">
        <f t="shared" si="0"/>
        <v>N</v>
      </c>
    </row>
    <row r="35" spans="1:6" x14ac:dyDescent="0.25">
      <c r="A35" s="10"/>
      <c r="B35" s="5" t="s">
        <v>59</v>
      </c>
      <c r="C35" s="5" t="s">
        <v>59</v>
      </c>
      <c r="D35" s="5" t="str">
        <f>IF(B35=C35,"Y","N")</f>
        <v>Y</v>
      </c>
      <c r="E35" s="19" t="s">
        <v>74</v>
      </c>
      <c r="F35" s="5" t="str">
        <f t="shared" si="0"/>
        <v>N</v>
      </c>
    </row>
    <row r="36" spans="1:6" x14ac:dyDescent="0.25">
      <c r="A36" s="10"/>
      <c r="B36" s="5" t="s">
        <v>61</v>
      </c>
      <c r="C36" s="5" t="s">
        <v>61</v>
      </c>
      <c r="D36" s="5" t="str">
        <f>IF(B36=C36,"Y","N")</f>
        <v>Y</v>
      </c>
      <c r="E36" s="19" t="s">
        <v>76</v>
      </c>
      <c r="F36" s="5" t="str">
        <f t="shared" si="0"/>
        <v>N</v>
      </c>
    </row>
    <row r="37" spans="1:6" x14ac:dyDescent="0.25">
      <c r="A37" s="10"/>
      <c r="B37" s="5" t="s">
        <v>63</v>
      </c>
      <c r="C37" s="5" t="s">
        <v>63</v>
      </c>
      <c r="D37" s="5" t="str">
        <f>IF(B37=C37,"Y","N")</f>
        <v>Y</v>
      </c>
      <c r="E37" s="19" t="s">
        <v>78</v>
      </c>
      <c r="F37" s="5" t="str">
        <f t="shared" si="0"/>
        <v>N</v>
      </c>
    </row>
    <row r="38" spans="1:6" x14ac:dyDescent="0.25">
      <c r="A38" s="10"/>
      <c r="B38" s="5" t="s">
        <v>65</v>
      </c>
      <c r="C38" s="5" t="s">
        <v>65</v>
      </c>
      <c r="D38" s="5" t="str">
        <f>IF(B38=C38,"Y","N")</f>
        <v>Y</v>
      </c>
      <c r="E38" s="19" t="s">
        <v>80</v>
      </c>
      <c r="F38" s="5" t="str">
        <f t="shared" si="0"/>
        <v>N</v>
      </c>
    </row>
    <row r="39" spans="1:6" x14ac:dyDescent="0.25">
      <c r="A39" s="10"/>
      <c r="B39" s="5" t="s">
        <v>67</v>
      </c>
      <c r="C39" s="5" t="s">
        <v>67</v>
      </c>
      <c r="D39" s="5" t="str">
        <f>IF(B39=C39,"Y","N")</f>
        <v>Y</v>
      </c>
      <c r="E39" s="19" t="s">
        <v>82</v>
      </c>
      <c r="F39" s="5" t="str">
        <f t="shared" si="0"/>
        <v>N</v>
      </c>
    </row>
    <row r="40" spans="1:6" x14ac:dyDescent="0.25">
      <c r="A40" s="10"/>
      <c r="B40" s="5" t="s">
        <v>69</v>
      </c>
      <c r="C40" s="5" t="s">
        <v>69</v>
      </c>
      <c r="D40" s="5" t="str">
        <f>IF(B40=C40,"Y","N")</f>
        <v>Y</v>
      </c>
      <c r="E40" s="19" t="s">
        <v>84</v>
      </c>
      <c r="F40" s="5" t="str">
        <f t="shared" si="0"/>
        <v>N</v>
      </c>
    </row>
    <row r="41" spans="1:6" x14ac:dyDescent="0.25">
      <c r="A41" s="10"/>
      <c r="B41" s="5" t="s">
        <v>71</v>
      </c>
      <c r="C41" s="5" t="s">
        <v>71</v>
      </c>
      <c r="D41" s="5" t="str">
        <f>IF(B41=C41,"Y","N")</f>
        <v>Y</v>
      </c>
      <c r="E41" s="19" t="s">
        <v>71</v>
      </c>
      <c r="F41" s="5" t="str">
        <f t="shared" si="0"/>
        <v>Y</v>
      </c>
    </row>
    <row r="42" spans="1:6" x14ac:dyDescent="0.25">
      <c r="A42" s="10"/>
      <c r="B42" s="5" t="s">
        <v>73</v>
      </c>
      <c r="C42" s="5" t="s">
        <v>73</v>
      </c>
      <c r="D42" s="5" t="str">
        <f>IF(B42=C42,"Y","N")</f>
        <v>Y</v>
      </c>
      <c r="E42" s="19" t="s">
        <v>73</v>
      </c>
      <c r="F42" s="5" t="str">
        <f t="shared" si="0"/>
        <v>Y</v>
      </c>
    </row>
    <row r="43" spans="1:6" x14ac:dyDescent="0.25">
      <c r="A43" s="10"/>
      <c r="B43" s="5" t="s">
        <v>75</v>
      </c>
      <c r="C43" s="5" t="s">
        <v>75</v>
      </c>
      <c r="D43" s="5" t="str">
        <f>IF(B43=C43,"Y","N")</f>
        <v>Y</v>
      </c>
      <c r="E43" s="19" t="s">
        <v>75</v>
      </c>
      <c r="F43" s="5" t="str">
        <f t="shared" si="0"/>
        <v>Y</v>
      </c>
    </row>
    <row r="44" spans="1:6" x14ac:dyDescent="0.25">
      <c r="A44" s="10"/>
      <c r="B44" s="5" t="s">
        <v>77</v>
      </c>
      <c r="C44" s="5" t="s">
        <v>77</v>
      </c>
      <c r="D44" s="5" t="str">
        <f>IF(B44=C44,"Y","N")</f>
        <v>Y</v>
      </c>
      <c r="E44" s="19" t="s">
        <v>77</v>
      </c>
      <c r="F44" s="5" t="str">
        <f t="shared" si="0"/>
        <v>Y</v>
      </c>
    </row>
    <row r="45" spans="1:6" x14ac:dyDescent="0.25">
      <c r="A45" s="10"/>
      <c r="B45" s="5" t="s">
        <v>79</v>
      </c>
      <c r="C45" s="5" t="s">
        <v>79</v>
      </c>
      <c r="D45" s="5" t="str">
        <f>IF(B45=C45,"Y","N")</f>
        <v>Y</v>
      </c>
      <c r="E45" s="19" t="s">
        <v>79</v>
      </c>
      <c r="F45" s="5" t="str">
        <f t="shared" si="0"/>
        <v>Y</v>
      </c>
    </row>
    <row r="46" spans="1:6" x14ac:dyDescent="0.25">
      <c r="A46" s="10"/>
      <c r="B46" s="5" t="s">
        <v>81</v>
      </c>
      <c r="C46" s="5" t="s">
        <v>81</v>
      </c>
      <c r="D46" s="5" t="str">
        <f>IF(B46=C46,"Y","N")</f>
        <v>Y</v>
      </c>
      <c r="E46" s="19" t="s">
        <v>81</v>
      </c>
      <c r="F46" s="5" t="str">
        <f t="shared" si="0"/>
        <v>Y</v>
      </c>
    </row>
    <row r="47" spans="1:6" x14ac:dyDescent="0.25">
      <c r="A47" s="10"/>
      <c r="B47" s="5" t="s">
        <v>83</v>
      </c>
      <c r="C47" s="5" t="s">
        <v>83</v>
      </c>
      <c r="D47" s="5" t="str">
        <f>IF(B47=C47,"Y","N")</f>
        <v>Y</v>
      </c>
      <c r="E47" s="19" t="s">
        <v>83</v>
      </c>
      <c r="F47" s="5" t="str">
        <f t="shared" si="0"/>
        <v>Y</v>
      </c>
    </row>
    <row r="48" spans="1:6" x14ac:dyDescent="0.25">
      <c r="A48" s="10"/>
      <c r="B48" s="5" t="s">
        <v>85</v>
      </c>
      <c r="C48" s="5" t="s">
        <v>85</v>
      </c>
      <c r="D48" s="5" t="str">
        <f>IF(B48=C48,"Y","N")</f>
        <v>Y</v>
      </c>
      <c r="E48" s="19" t="s">
        <v>85</v>
      </c>
      <c r="F48" s="5" t="str">
        <f t="shared" si="0"/>
        <v>Y</v>
      </c>
    </row>
    <row r="49" spans="1:9" x14ac:dyDescent="0.25">
      <c r="A49" s="10"/>
      <c r="B49" s="5" t="s">
        <v>86</v>
      </c>
      <c r="C49" s="5" t="s">
        <v>86</v>
      </c>
      <c r="D49" s="5" t="str">
        <f>IF(B49=C49,"Y","N")</f>
        <v>Y</v>
      </c>
      <c r="E49" s="19" t="s">
        <v>86</v>
      </c>
      <c r="F49" s="5" t="str">
        <f t="shared" si="0"/>
        <v>Y</v>
      </c>
      <c r="I49"/>
    </row>
    <row r="50" spans="1:9" x14ac:dyDescent="0.25">
      <c r="A50" s="10"/>
      <c r="B50" s="5" t="s">
        <v>88</v>
      </c>
      <c r="C50" s="5" t="s">
        <v>88</v>
      </c>
      <c r="D50" s="5" t="str">
        <f>IF(B50=C50,"Y","N")</f>
        <v>Y</v>
      </c>
      <c r="E50" s="19" t="s">
        <v>88</v>
      </c>
      <c r="F50" s="5" t="str">
        <f t="shared" si="0"/>
        <v>Y</v>
      </c>
    </row>
    <row r="51" spans="1:9" x14ac:dyDescent="0.25">
      <c r="A51" s="10"/>
      <c r="B51" s="5" t="s">
        <v>89</v>
      </c>
      <c r="C51" s="5" t="s">
        <v>89</v>
      </c>
      <c r="D51" s="5" t="str">
        <f>IF(B51=C51,"Y","N")</f>
        <v>Y</v>
      </c>
      <c r="E51" s="19" t="s">
        <v>89</v>
      </c>
      <c r="F51" s="5" t="str">
        <f t="shared" si="0"/>
        <v>Y</v>
      </c>
    </row>
    <row r="52" spans="1:9" x14ac:dyDescent="0.25">
      <c r="A52" s="10"/>
      <c r="B52" s="5" t="s">
        <v>90</v>
      </c>
      <c r="C52" s="5" t="s">
        <v>90</v>
      </c>
      <c r="D52" s="5" t="str">
        <f>IF(B52=C52,"Y","N")</f>
        <v>Y</v>
      </c>
      <c r="E52" s="19" t="s">
        <v>90</v>
      </c>
      <c r="F52" s="5" t="str">
        <f t="shared" si="0"/>
        <v>Y</v>
      </c>
    </row>
    <row r="53" spans="1:9" x14ac:dyDescent="0.25">
      <c r="A53" s="10"/>
      <c r="B53" s="5" t="s">
        <v>126</v>
      </c>
      <c r="C53" s="5" t="s">
        <v>126</v>
      </c>
      <c r="D53" s="5" t="str">
        <f>IF(B53=C53,"Y","N")</f>
        <v>Y</v>
      </c>
      <c r="E53" s="19" t="s">
        <v>126</v>
      </c>
      <c r="F53" s="5" t="str">
        <f t="shared" si="0"/>
        <v>Y</v>
      </c>
    </row>
    <row r="54" spans="1:9" x14ac:dyDescent="0.25">
      <c r="A54" s="10"/>
      <c r="B54" s="5" t="s">
        <v>91</v>
      </c>
      <c r="C54" s="5" t="s">
        <v>91</v>
      </c>
      <c r="D54" s="5" t="str">
        <f>IF(B54=C54,"Y","N")</f>
        <v>Y</v>
      </c>
      <c r="E54" s="19" t="s">
        <v>91</v>
      </c>
      <c r="F54" s="5" t="str">
        <f t="shared" si="0"/>
        <v>Y</v>
      </c>
    </row>
    <row r="55" spans="1:9" x14ac:dyDescent="0.25">
      <c r="A55" s="10"/>
      <c r="B55" s="5" t="s">
        <v>92</v>
      </c>
      <c r="C55" s="5" t="s">
        <v>92</v>
      </c>
      <c r="D55" s="5" t="str">
        <f>IF(B55=C55,"Y","N")</f>
        <v>Y</v>
      </c>
      <c r="E55" s="19" t="s">
        <v>92</v>
      </c>
      <c r="F55" s="5" t="str">
        <f t="shared" si="0"/>
        <v>Y</v>
      </c>
      <c r="I55"/>
    </row>
    <row r="56" spans="1:9" x14ac:dyDescent="0.25">
      <c r="A56" s="10"/>
      <c r="B56" s="5" t="s">
        <v>93</v>
      </c>
      <c r="C56" s="5" t="s">
        <v>93</v>
      </c>
      <c r="D56" s="5" t="str">
        <f>IF(B56=C56,"Y","N")</f>
        <v>Y</v>
      </c>
      <c r="E56" s="19" t="s">
        <v>93</v>
      </c>
      <c r="F56" s="5" t="str">
        <f t="shared" si="0"/>
        <v>Y</v>
      </c>
    </row>
    <row r="57" spans="1:9" x14ac:dyDescent="0.25">
      <c r="A57" s="10"/>
      <c r="B57" s="5" t="s">
        <v>95</v>
      </c>
      <c r="C57" s="5" t="s">
        <v>95</v>
      </c>
      <c r="D57" s="5" t="str">
        <f>IF(B57=C57,"Y","N")</f>
        <v>Y</v>
      </c>
      <c r="E57" s="19" t="s">
        <v>95</v>
      </c>
      <c r="F57" s="5" t="str">
        <f t="shared" si="0"/>
        <v>Y</v>
      </c>
    </row>
    <row r="58" spans="1:9" x14ac:dyDescent="0.25">
      <c r="A58" s="10"/>
      <c r="B58" s="5" t="s">
        <v>96</v>
      </c>
      <c r="C58" s="5" t="s">
        <v>96</v>
      </c>
      <c r="D58" s="5" t="str">
        <f>IF(B58=C58,"Y","N")</f>
        <v>Y</v>
      </c>
      <c r="E58" s="19" t="s">
        <v>96</v>
      </c>
      <c r="F58" s="5" t="str">
        <f t="shared" si="0"/>
        <v>Y</v>
      </c>
    </row>
    <row r="59" spans="1:9" x14ac:dyDescent="0.25">
      <c r="A59" s="10"/>
      <c r="B59" s="5" t="s">
        <v>97</v>
      </c>
      <c r="C59" s="5" t="s">
        <v>97</v>
      </c>
      <c r="D59" s="5" t="str">
        <f>IF(B59=C59,"Y","N")</f>
        <v>Y</v>
      </c>
      <c r="E59" s="19" t="s">
        <v>97</v>
      </c>
      <c r="F59" s="5" t="str">
        <f t="shared" si="0"/>
        <v>Y</v>
      </c>
      <c r="I59"/>
    </row>
    <row r="60" spans="1:9" x14ac:dyDescent="0.25">
      <c r="A60" s="10"/>
      <c r="B60" s="5" t="s">
        <v>98</v>
      </c>
      <c r="C60" s="5" t="s">
        <v>98</v>
      </c>
      <c r="D60" s="5" t="str">
        <f>IF(B60=C60,"Y","N")</f>
        <v>Y</v>
      </c>
      <c r="E60" s="19" t="s">
        <v>98</v>
      </c>
      <c r="F60" s="5" t="str">
        <f t="shared" si="0"/>
        <v>Y</v>
      </c>
    </row>
    <row r="61" spans="1:9" x14ac:dyDescent="0.25">
      <c r="A61" s="10"/>
      <c r="B61" s="5" t="s">
        <v>100</v>
      </c>
      <c r="C61" s="5" t="s">
        <v>100</v>
      </c>
      <c r="D61" s="5" t="str">
        <f>IF(B61=C61,"Y","N")</f>
        <v>Y</v>
      </c>
      <c r="E61" s="19" t="s">
        <v>100</v>
      </c>
      <c r="F61" s="5" t="str">
        <f t="shared" si="0"/>
        <v>Y</v>
      </c>
    </row>
    <row r="62" spans="1:9" x14ac:dyDescent="0.25">
      <c r="A62" s="10"/>
      <c r="B62" s="5" t="s">
        <v>101</v>
      </c>
      <c r="C62" s="5" t="s">
        <v>101</v>
      </c>
      <c r="D62" s="5" t="str">
        <f>IF(B62=C62,"Y","N")</f>
        <v>Y</v>
      </c>
      <c r="E62" s="19" t="s">
        <v>101</v>
      </c>
      <c r="F62" s="5" t="str">
        <f t="shared" si="0"/>
        <v>Y</v>
      </c>
    </row>
    <row r="63" spans="1:9" x14ac:dyDescent="0.25">
      <c r="A63" s="10"/>
      <c r="B63" s="5" t="s">
        <v>102</v>
      </c>
      <c r="C63" s="5" t="s">
        <v>102</v>
      </c>
      <c r="D63" s="5" t="str">
        <f>IF(B63=C63,"Y","N")</f>
        <v>Y</v>
      </c>
      <c r="E63" s="19" t="s">
        <v>102</v>
      </c>
      <c r="F63" s="5" t="str">
        <f t="shared" si="0"/>
        <v>Y</v>
      </c>
      <c r="I63"/>
    </row>
    <row r="64" spans="1:9" x14ac:dyDescent="0.25">
      <c r="A64" s="10"/>
      <c r="B64" s="5" t="s">
        <v>103</v>
      </c>
      <c r="C64" s="5" t="s">
        <v>103</v>
      </c>
      <c r="D64" s="5" t="str">
        <f>IF(B64=C64,"Y","N")</f>
        <v>Y</v>
      </c>
      <c r="E64" s="19" t="s">
        <v>103</v>
      </c>
      <c r="F64" s="5" t="str">
        <f t="shared" si="0"/>
        <v>Y</v>
      </c>
    </row>
    <row r="65" spans="1:9" x14ac:dyDescent="0.25">
      <c r="A65" s="10"/>
      <c r="B65" s="5" t="s">
        <v>105</v>
      </c>
      <c r="C65" s="5" t="s">
        <v>105</v>
      </c>
      <c r="D65" s="5" t="str">
        <f>IF(B65=C65,"Y","N")</f>
        <v>Y</v>
      </c>
      <c r="E65" s="19" t="s">
        <v>105</v>
      </c>
      <c r="F65" s="5" t="str">
        <f t="shared" si="0"/>
        <v>Y</v>
      </c>
    </row>
    <row r="66" spans="1:9" x14ac:dyDescent="0.25">
      <c r="A66" s="10"/>
      <c r="B66" s="5" t="s">
        <v>106</v>
      </c>
      <c r="C66" s="5" t="s">
        <v>106</v>
      </c>
      <c r="D66" s="5" t="str">
        <f>IF(B66=C66,"Y","N")</f>
        <v>Y</v>
      </c>
      <c r="E66" s="19" t="s">
        <v>106</v>
      </c>
      <c r="F66" s="5" t="str">
        <f t="shared" si="0"/>
        <v>Y</v>
      </c>
      <c r="I66"/>
    </row>
    <row r="67" spans="1:9" x14ac:dyDescent="0.25">
      <c r="A67" s="10"/>
      <c r="B67" s="5" t="s">
        <v>110</v>
      </c>
      <c r="C67" s="5" t="s">
        <v>110</v>
      </c>
      <c r="D67" s="5" t="str">
        <f>IF(B67=C67,"Y","N")</f>
        <v>Y</v>
      </c>
      <c r="E67" s="19" t="s">
        <v>110</v>
      </c>
      <c r="F67" s="5" t="str">
        <f t="shared" si="0"/>
        <v>Y</v>
      </c>
      <c r="I67"/>
    </row>
    <row r="68" spans="1:9" x14ac:dyDescent="0.25">
      <c r="A68" s="10"/>
      <c r="B68" s="5" t="s">
        <v>111</v>
      </c>
      <c r="C68" s="5" t="s">
        <v>111</v>
      </c>
      <c r="D68" s="5" t="str">
        <f>IF(B68=C68,"Y","N")</f>
        <v>Y</v>
      </c>
      <c r="E68" s="19" t="s">
        <v>121</v>
      </c>
      <c r="F68" s="5" t="str">
        <f t="shared" ref="F68:F71" si="1">IF(C68=E68,"Y","N")</f>
        <v>N</v>
      </c>
    </row>
    <row r="69" spans="1:9" x14ac:dyDescent="0.25">
      <c r="A69" s="10"/>
      <c r="B69" s="5" t="s">
        <v>112</v>
      </c>
      <c r="C69" s="5" t="s">
        <v>112</v>
      </c>
      <c r="D69" s="5" t="str">
        <f>IF(B69=C69,"Y","N")</f>
        <v>Y</v>
      </c>
      <c r="E69" s="19" t="s">
        <v>122</v>
      </c>
      <c r="F69" s="5" t="str">
        <f t="shared" si="1"/>
        <v>N</v>
      </c>
    </row>
    <row r="70" spans="1:9" x14ac:dyDescent="0.25">
      <c r="A70" s="10"/>
      <c r="B70" s="5" t="s">
        <v>149</v>
      </c>
      <c r="C70" s="5" t="s">
        <v>149</v>
      </c>
      <c r="D70" s="5" t="str">
        <f>IF(B70=C70,"Y","N")</f>
        <v>Y</v>
      </c>
      <c r="E70" s="19" t="s">
        <v>149</v>
      </c>
      <c r="F70" s="5" t="str">
        <f t="shared" si="1"/>
        <v>Y</v>
      </c>
    </row>
    <row r="71" spans="1:9" x14ac:dyDescent="0.25">
      <c r="A71" s="10"/>
      <c r="B71" s="5" t="s">
        <v>194</v>
      </c>
      <c r="C71" s="5" t="s">
        <v>194</v>
      </c>
      <c r="D71" s="5" t="str">
        <f>IF(B71=C71,"Y","N")</f>
        <v>Y</v>
      </c>
      <c r="E71" s="19" t="s">
        <v>194</v>
      </c>
      <c r="F71" s="5" t="str">
        <f t="shared" si="1"/>
        <v>Y</v>
      </c>
    </row>
  </sheetData>
  <autoFilter ref="A2:J71" xr:uid="{00000000-0001-0000-0D00-000000000000}"/>
  <conditionalFormatting sqref="E1 D47 D48:E51 D52:D54 I49 D2:E46 D55:E1048576">
    <cfRule type="cellIs" dxfId="35" priority="3" operator="equal">
      <formula>"N"</formula>
    </cfRule>
  </conditionalFormatting>
  <conditionalFormatting sqref="G23">
    <cfRule type="cellIs" dxfId="34" priority="2" operator="equal">
      <formula>"N"</formula>
    </cfRule>
  </conditionalFormatting>
  <conditionalFormatting sqref="F3:F71">
    <cfRule type="cellIs" dxfId="33" priority="1" operator="equal">
      <formula>"N"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195</v>
      </c>
      <c r="C2" s="12" t="s">
        <v>197</v>
      </c>
      <c r="D2" s="5" t="s">
        <v>336</v>
      </c>
      <c r="E2" s="12" t="s">
        <v>196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198</v>
      </c>
      <c r="C6" s="5" t="s">
        <v>198</v>
      </c>
      <c r="D6" s="5" t="str">
        <f>IF(B6=C6,"Y","N")</f>
        <v>Y</v>
      </c>
      <c r="E6" s="19" t="s">
        <v>198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10</v>
      </c>
      <c r="C7" s="5" t="s">
        <v>10</v>
      </c>
      <c r="D7" s="5" t="str">
        <f>IF(B7=C7,"Y","N")</f>
        <v>Y</v>
      </c>
      <c r="E7" s="19" t="s">
        <v>10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11</v>
      </c>
      <c r="C8" s="5" t="s">
        <v>11</v>
      </c>
      <c r="D8" s="5" t="str">
        <f>IF(B8=C8,"Y","N")</f>
        <v>Y</v>
      </c>
      <c r="E8" s="19" t="s">
        <v>11</v>
      </c>
      <c r="F8" s="5" t="str">
        <f t="shared" si="0"/>
        <v>Y</v>
      </c>
      <c r="H8" s="5">
        <v>6</v>
      </c>
      <c r="I8" s="5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12</v>
      </c>
      <c r="C9" s="5" t="s">
        <v>12</v>
      </c>
      <c r="D9" s="5" t="str">
        <f>IF(B9=C9,"Y","N")</f>
        <v>Y</v>
      </c>
      <c r="E9" s="19" t="s">
        <v>16</v>
      </c>
      <c r="F9" s="5" t="str">
        <f t="shared" si="0"/>
        <v>N</v>
      </c>
      <c r="H9" s="5">
        <v>7</v>
      </c>
      <c r="I9" s="19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14</v>
      </c>
      <c r="C10" s="5" t="s">
        <v>14</v>
      </c>
      <c r="D10" s="5" t="str">
        <f>IF(B10=C10,"Y","N")</f>
        <v>Y</v>
      </c>
      <c r="E10" s="19" t="s">
        <v>18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17</v>
      </c>
      <c r="C11" s="5" t="s">
        <v>17</v>
      </c>
      <c r="D11" s="5" t="str">
        <f>IF(B11=C11,"Y","N")</f>
        <v>Y</v>
      </c>
      <c r="E11" s="19" t="s">
        <v>31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19</v>
      </c>
      <c r="C12" s="5" t="s">
        <v>19</v>
      </c>
      <c r="D12" s="5" t="str">
        <f>IF(B12=C12,"Y","N")</f>
        <v>Y</v>
      </c>
      <c r="E12" s="19" t="s">
        <v>33</v>
      </c>
      <c r="F12" s="5" t="str">
        <f t="shared" si="0"/>
        <v>N</v>
      </c>
      <c r="H12" s="5">
        <v>10</v>
      </c>
      <c r="I12" s="5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21</v>
      </c>
      <c r="C13" s="5" t="s">
        <v>21</v>
      </c>
      <c r="D13" s="5" t="str">
        <f>IF(B13=C13,"Y","N")</f>
        <v>Y</v>
      </c>
      <c r="E13" s="19" t="s">
        <v>35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23</v>
      </c>
      <c r="C14" s="5" t="s">
        <v>23</v>
      </c>
      <c r="D14" s="5" t="str">
        <f>IF(B14=C14,"Y","N")</f>
        <v>Y</v>
      </c>
      <c r="E14" s="19" t="s">
        <v>37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24</v>
      </c>
      <c r="C15" s="5" t="s">
        <v>24</v>
      </c>
      <c r="D15" s="5" t="str">
        <f>IF(B15=C15,"Y","N")</f>
        <v>Y</v>
      </c>
      <c r="E15" s="19" t="s">
        <v>39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26</v>
      </c>
      <c r="C16" s="5" t="s">
        <v>26</v>
      </c>
      <c r="D16" s="5" t="str">
        <f>IF(B16=C16,"Y","N")</f>
        <v>Y</v>
      </c>
      <c r="E16" s="19" t="s">
        <v>41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28</v>
      </c>
      <c r="C17" s="5" t="s">
        <v>28</v>
      </c>
      <c r="D17" s="5" t="str">
        <f>IF(B17=C17,"Y","N")</f>
        <v>Y</v>
      </c>
      <c r="E17" s="19" t="s">
        <v>43</v>
      </c>
      <c r="F17" s="5" t="str">
        <f t="shared" si="0"/>
        <v>N</v>
      </c>
      <c r="H17" s="5">
        <v>15</v>
      </c>
      <c r="I17" s="19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30</v>
      </c>
      <c r="C18" s="5" t="s">
        <v>30</v>
      </c>
      <c r="D18" s="5" t="str">
        <f>IF(B18=C18,"Y","N")</f>
        <v>Y</v>
      </c>
      <c r="E18" s="19" t="s">
        <v>30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32</v>
      </c>
      <c r="C19" s="5" t="s">
        <v>32</v>
      </c>
      <c r="D19" s="5" t="str">
        <f>IF(B19=C19,"Y","N")</f>
        <v>Y</v>
      </c>
      <c r="E19" s="19" t="s">
        <v>32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36</v>
      </c>
      <c r="C20" s="5" t="s">
        <v>36</v>
      </c>
      <c r="D20" s="5" t="str">
        <f>IF(B20=C20,"Y","N")</f>
        <v>Y</v>
      </c>
      <c r="E20" s="19" t="s">
        <v>36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38</v>
      </c>
      <c r="C21" s="5" t="s">
        <v>38</v>
      </c>
      <c r="D21" s="5" t="str">
        <f>IF(B21=C21,"Y","N")</f>
        <v>Y</v>
      </c>
      <c r="E21" s="19" t="s">
        <v>38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42</v>
      </c>
      <c r="C22" s="5" t="s">
        <v>42</v>
      </c>
      <c r="D22" s="5" t="str">
        <f>IF(B22=C22,"Y","N")</f>
        <v>Y</v>
      </c>
      <c r="E22" s="19" t="s">
        <v>42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199</v>
      </c>
      <c r="C23" s="5" t="s">
        <v>199</v>
      </c>
      <c r="D23" s="5" t="str">
        <f>IF(B23=C23,"Y","N")</f>
        <v>Y</v>
      </c>
      <c r="E23" s="19" t="s">
        <v>199</v>
      </c>
      <c r="F23" s="5" t="str">
        <f t="shared" si="0"/>
        <v>Y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44</v>
      </c>
      <c r="C24" s="5" t="s">
        <v>44</v>
      </c>
      <c r="D24" s="5" t="str">
        <f>IF(B24=C24,"Y","N")</f>
        <v>Y</v>
      </c>
      <c r="E24" s="19" t="s">
        <v>44</v>
      </c>
      <c r="F24" s="5" t="str">
        <f t="shared" si="0"/>
        <v>Y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45</v>
      </c>
      <c r="C25" s="5" t="s">
        <v>45</v>
      </c>
      <c r="D25" s="5" t="str">
        <f>IF(B25=C25,"Y","N")</f>
        <v>Y</v>
      </c>
      <c r="E25" s="6"/>
      <c r="F25" s="5" t="str">
        <f t="shared" si="0"/>
        <v>N</v>
      </c>
      <c r="G25" s="14" t="s">
        <v>341</v>
      </c>
    </row>
    <row r="26" spans="1:10" x14ac:dyDescent="0.25">
      <c r="A26" s="10"/>
      <c r="B26" s="5" t="s">
        <v>46</v>
      </c>
      <c r="C26" s="5" t="s">
        <v>46</v>
      </c>
      <c r="D26" s="5" t="str">
        <f>IF(B26=C26,"Y","N")</f>
        <v>Y</v>
      </c>
      <c r="E26" s="19" t="s">
        <v>46</v>
      </c>
      <c r="F26" s="5" t="str">
        <f t="shared" si="0"/>
        <v>Y</v>
      </c>
    </row>
    <row r="27" spans="1:10" x14ac:dyDescent="0.25">
      <c r="A27" s="10"/>
      <c r="B27" s="5" t="s">
        <v>47</v>
      </c>
      <c r="C27" s="5" t="s">
        <v>47</v>
      </c>
      <c r="D27" s="5" t="str">
        <f>IF(B27=C27,"Y","N")</f>
        <v>Y</v>
      </c>
      <c r="E27" s="19" t="s">
        <v>56</v>
      </c>
      <c r="F27" s="5" t="str">
        <f t="shared" si="0"/>
        <v>N</v>
      </c>
    </row>
    <row r="28" spans="1:10" x14ac:dyDescent="0.25">
      <c r="A28" s="10"/>
      <c r="B28" s="5" t="s">
        <v>200</v>
      </c>
      <c r="C28" s="5" t="s">
        <v>200</v>
      </c>
      <c r="D28" s="5" t="str">
        <f>IF(B28=C28,"Y","N")</f>
        <v>Y</v>
      </c>
      <c r="E28" s="19" t="s">
        <v>200</v>
      </c>
      <c r="F28" s="5" t="str">
        <f t="shared" si="0"/>
        <v>Y</v>
      </c>
    </row>
    <row r="29" spans="1:10" x14ac:dyDescent="0.25">
      <c r="A29" s="10"/>
      <c r="B29" s="5" t="s">
        <v>48</v>
      </c>
      <c r="C29" s="5" t="s">
        <v>48</v>
      </c>
      <c r="D29" s="5" t="str">
        <f>IF(B29=C29,"Y","N")</f>
        <v>Y</v>
      </c>
      <c r="E29" s="19" t="s">
        <v>58</v>
      </c>
      <c r="F29" s="5" t="str">
        <f t="shared" si="0"/>
        <v>N</v>
      </c>
    </row>
    <row r="30" spans="1:10" x14ac:dyDescent="0.25">
      <c r="A30" s="10"/>
      <c r="B30" s="5" t="s">
        <v>49</v>
      </c>
      <c r="C30" s="5" t="s">
        <v>49</v>
      </c>
      <c r="D30" s="5" t="str">
        <f>IF(B30=C30,"Y","N")</f>
        <v>Y</v>
      </c>
      <c r="E30" s="19" t="s">
        <v>60</v>
      </c>
      <c r="F30" s="5" t="str">
        <f t="shared" si="0"/>
        <v>N</v>
      </c>
    </row>
    <row r="31" spans="1:10" x14ac:dyDescent="0.25">
      <c r="A31" s="10"/>
      <c r="B31" s="5" t="s">
        <v>50</v>
      </c>
      <c r="C31" s="5" t="s">
        <v>50</v>
      </c>
      <c r="D31" s="5" t="str">
        <f>IF(B31=C31,"Y","N")</f>
        <v>Y</v>
      </c>
      <c r="E31" s="19" t="s">
        <v>62</v>
      </c>
      <c r="F31" s="5" t="str">
        <f t="shared" si="0"/>
        <v>N</v>
      </c>
      <c r="I31"/>
    </row>
    <row r="32" spans="1:10" x14ac:dyDescent="0.25">
      <c r="A32" s="10"/>
      <c r="B32" s="5" t="s">
        <v>51</v>
      </c>
      <c r="C32" s="5" t="s">
        <v>51</v>
      </c>
      <c r="D32" s="5" t="str">
        <f>IF(B32=C32,"Y","N")</f>
        <v>Y</v>
      </c>
      <c r="E32" s="19" t="s">
        <v>64</v>
      </c>
      <c r="F32" s="5" t="str">
        <f t="shared" si="0"/>
        <v>N</v>
      </c>
    </row>
    <row r="33" spans="1:6" x14ac:dyDescent="0.25">
      <c r="A33" s="10"/>
      <c r="B33" s="5" t="s">
        <v>53</v>
      </c>
      <c r="C33" s="5" t="s">
        <v>53</v>
      </c>
      <c r="D33" s="5" t="str">
        <f>IF(B33=C33,"Y","N")</f>
        <v>Y</v>
      </c>
      <c r="E33" s="19" t="s">
        <v>66</v>
      </c>
      <c r="F33" s="5" t="str">
        <f t="shared" si="0"/>
        <v>N</v>
      </c>
    </row>
    <row r="34" spans="1:6" x14ac:dyDescent="0.25">
      <c r="A34" s="10"/>
      <c r="B34" s="5" t="s">
        <v>54</v>
      </c>
      <c r="C34" s="5" t="s">
        <v>54</v>
      </c>
      <c r="D34" s="5" t="str">
        <f>IF(B34=C34,"Y","N")</f>
        <v>Y</v>
      </c>
      <c r="E34" s="19" t="s">
        <v>68</v>
      </c>
      <c r="F34" s="5" t="str">
        <f t="shared" si="0"/>
        <v>N</v>
      </c>
    </row>
    <row r="35" spans="1:6" x14ac:dyDescent="0.25">
      <c r="A35" s="10"/>
      <c r="B35" s="5" t="s">
        <v>55</v>
      </c>
      <c r="C35" s="5" t="s">
        <v>55</v>
      </c>
      <c r="D35" s="5" t="str">
        <f>IF(B35=C35,"Y","N")</f>
        <v>Y</v>
      </c>
      <c r="E35" s="19" t="s">
        <v>70</v>
      </c>
      <c r="F35" s="5" t="str">
        <f t="shared" si="0"/>
        <v>N</v>
      </c>
    </row>
    <row r="36" spans="1:6" x14ac:dyDescent="0.25">
      <c r="A36" s="10"/>
      <c r="B36" s="5" t="s">
        <v>57</v>
      </c>
      <c r="C36" s="5" t="s">
        <v>57</v>
      </c>
      <c r="D36" s="5" t="str">
        <f>IF(B36=C36,"Y","N")</f>
        <v>Y</v>
      </c>
      <c r="E36" s="19" t="s">
        <v>72</v>
      </c>
      <c r="F36" s="5" t="str">
        <f t="shared" si="0"/>
        <v>N</v>
      </c>
    </row>
    <row r="37" spans="1:6" x14ac:dyDescent="0.25">
      <c r="A37" s="10"/>
      <c r="B37" s="5" t="s">
        <v>59</v>
      </c>
      <c r="C37" s="5" t="s">
        <v>59</v>
      </c>
      <c r="D37" s="5" t="str">
        <f>IF(B37=C37,"Y","N")</f>
        <v>Y</v>
      </c>
      <c r="E37" s="19" t="s">
        <v>74</v>
      </c>
      <c r="F37" s="5" t="str">
        <f t="shared" si="0"/>
        <v>N</v>
      </c>
    </row>
    <row r="38" spans="1:6" x14ac:dyDescent="0.25">
      <c r="A38" s="10"/>
      <c r="B38" s="5" t="s">
        <v>61</v>
      </c>
      <c r="C38" s="5" t="s">
        <v>61</v>
      </c>
      <c r="D38" s="5" t="str">
        <f>IF(B38=C38,"Y","N")</f>
        <v>Y</v>
      </c>
      <c r="E38" s="19" t="s">
        <v>76</v>
      </c>
      <c r="F38" s="5" t="str">
        <f t="shared" si="0"/>
        <v>N</v>
      </c>
    </row>
    <row r="39" spans="1:6" x14ac:dyDescent="0.25">
      <c r="A39" s="10"/>
      <c r="B39" s="5" t="s">
        <v>63</v>
      </c>
      <c r="C39" s="5" t="s">
        <v>63</v>
      </c>
      <c r="D39" s="5" t="str">
        <f>IF(B39=C39,"Y","N")</f>
        <v>Y</v>
      </c>
      <c r="E39" s="19" t="s">
        <v>78</v>
      </c>
      <c r="F39" s="5" t="str">
        <f t="shared" si="0"/>
        <v>N</v>
      </c>
    </row>
    <row r="40" spans="1:6" x14ac:dyDescent="0.25">
      <c r="A40" s="10"/>
      <c r="B40" s="5" t="s">
        <v>65</v>
      </c>
      <c r="C40" s="5" t="s">
        <v>65</v>
      </c>
      <c r="D40" s="5" t="str">
        <f>IF(B40=C40,"Y","N")</f>
        <v>Y</v>
      </c>
      <c r="E40" s="19" t="s">
        <v>80</v>
      </c>
      <c r="F40" s="5" t="str">
        <f t="shared" si="0"/>
        <v>N</v>
      </c>
    </row>
    <row r="41" spans="1:6" x14ac:dyDescent="0.25">
      <c r="A41" s="10"/>
      <c r="B41" s="5" t="s">
        <v>67</v>
      </c>
      <c r="C41" s="5" t="s">
        <v>67</v>
      </c>
      <c r="D41" s="5" t="str">
        <f>IF(B41=C41,"Y","N")</f>
        <v>Y</v>
      </c>
      <c r="E41" s="19" t="s">
        <v>82</v>
      </c>
      <c r="F41" s="5" t="str">
        <f t="shared" si="0"/>
        <v>N</v>
      </c>
    </row>
    <row r="42" spans="1:6" x14ac:dyDescent="0.25">
      <c r="A42" s="10"/>
      <c r="B42" s="5" t="s">
        <v>69</v>
      </c>
      <c r="C42" s="5" t="s">
        <v>69</v>
      </c>
      <c r="D42" s="5" t="str">
        <f>IF(B42=C42,"Y","N")</f>
        <v>Y</v>
      </c>
      <c r="E42" s="19" t="s">
        <v>84</v>
      </c>
      <c r="F42" s="5" t="str">
        <f t="shared" si="0"/>
        <v>N</v>
      </c>
    </row>
    <row r="43" spans="1:6" x14ac:dyDescent="0.25">
      <c r="A43" s="10"/>
      <c r="B43" s="5" t="s">
        <v>71</v>
      </c>
      <c r="C43" s="5" t="s">
        <v>71</v>
      </c>
      <c r="D43" s="5" t="str">
        <f>IF(B43=C43,"Y","N")</f>
        <v>Y</v>
      </c>
      <c r="E43" s="19" t="s">
        <v>71</v>
      </c>
      <c r="F43" s="5" t="str">
        <f t="shared" si="0"/>
        <v>Y</v>
      </c>
    </row>
    <row r="44" spans="1:6" x14ac:dyDescent="0.25">
      <c r="A44" s="10"/>
      <c r="B44" s="5" t="s">
        <v>73</v>
      </c>
      <c r="C44" s="5" t="s">
        <v>73</v>
      </c>
      <c r="D44" s="5" t="str">
        <f>IF(B44=C44,"Y","N")</f>
        <v>Y</v>
      </c>
      <c r="E44" s="19" t="s">
        <v>73</v>
      </c>
      <c r="F44" s="5" t="str">
        <f t="shared" si="0"/>
        <v>Y</v>
      </c>
    </row>
    <row r="45" spans="1:6" x14ac:dyDescent="0.25">
      <c r="A45" s="10"/>
      <c r="B45" s="5" t="s">
        <v>75</v>
      </c>
      <c r="C45" s="5" t="s">
        <v>75</v>
      </c>
      <c r="D45" s="5" t="str">
        <f>IF(B45=C45,"Y","N")</f>
        <v>Y</v>
      </c>
      <c r="E45" s="19" t="s">
        <v>75</v>
      </c>
      <c r="F45" s="5" t="str">
        <f t="shared" si="0"/>
        <v>Y</v>
      </c>
    </row>
    <row r="46" spans="1:6" x14ac:dyDescent="0.25">
      <c r="A46" s="10"/>
      <c r="B46" s="5" t="s">
        <v>77</v>
      </c>
      <c r="C46" s="5" t="s">
        <v>77</v>
      </c>
      <c r="D46" s="5" t="str">
        <f>IF(B46=C46,"Y","N")</f>
        <v>Y</v>
      </c>
      <c r="E46" s="19" t="s">
        <v>77</v>
      </c>
      <c r="F46" s="5" t="str">
        <f t="shared" si="0"/>
        <v>Y</v>
      </c>
    </row>
    <row r="47" spans="1:6" x14ac:dyDescent="0.25">
      <c r="A47" s="10"/>
      <c r="B47" s="5" t="s">
        <v>79</v>
      </c>
      <c r="C47" s="5" t="s">
        <v>79</v>
      </c>
      <c r="D47" s="5" t="str">
        <f>IF(B47=C47,"Y","N")</f>
        <v>Y</v>
      </c>
      <c r="E47" s="19" t="s">
        <v>79</v>
      </c>
      <c r="F47" s="5" t="str">
        <f t="shared" si="0"/>
        <v>Y</v>
      </c>
    </row>
    <row r="48" spans="1:6" x14ac:dyDescent="0.25">
      <c r="A48" s="10"/>
      <c r="B48" s="5" t="s">
        <v>81</v>
      </c>
      <c r="C48" s="5" t="s">
        <v>81</v>
      </c>
      <c r="D48" s="5" t="str">
        <f>IF(B48=C48,"Y","N")</f>
        <v>Y</v>
      </c>
      <c r="E48" s="19" t="s">
        <v>81</v>
      </c>
      <c r="F48" s="5" t="str">
        <f t="shared" si="0"/>
        <v>Y</v>
      </c>
    </row>
    <row r="49" spans="1:9" x14ac:dyDescent="0.25">
      <c r="A49" s="10"/>
      <c r="B49" s="5" t="s">
        <v>83</v>
      </c>
      <c r="C49" s="5" t="s">
        <v>83</v>
      </c>
      <c r="D49" s="5" t="str">
        <f>IF(B49=C49,"Y","N")</f>
        <v>Y</v>
      </c>
      <c r="E49" s="19" t="s">
        <v>83</v>
      </c>
      <c r="F49" s="5" t="str">
        <f t="shared" si="0"/>
        <v>Y</v>
      </c>
    </row>
    <row r="50" spans="1:9" x14ac:dyDescent="0.25">
      <c r="A50" s="10"/>
      <c r="B50" s="5" t="s">
        <v>85</v>
      </c>
      <c r="C50" s="5" t="s">
        <v>85</v>
      </c>
      <c r="D50" s="5" t="str">
        <f>IF(B50=C50,"Y","N")</f>
        <v>Y</v>
      </c>
      <c r="E50" s="19" t="s">
        <v>85</v>
      </c>
      <c r="F50" s="5" t="str">
        <f t="shared" si="0"/>
        <v>Y</v>
      </c>
    </row>
    <row r="51" spans="1:9" x14ac:dyDescent="0.25">
      <c r="A51" s="10"/>
      <c r="B51" s="5" t="s">
        <v>86</v>
      </c>
      <c r="C51" s="5" t="s">
        <v>86</v>
      </c>
      <c r="D51" s="5" t="str">
        <f>IF(B51=C51,"Y","N")</f>
        <v>Y</v>
      </c>
      <c r="E51" s="19" t="s">
        <v>86</v>
      </c>
      <c r="F51" s="5" t="str">
        <f t="shared" si="0"/>
        <v>Y</v>
      </c>
      <c r="I51"/>
    </row>
    <row r="52" spans="1:9" x14ac:dyDescent="0.25">
      <c r="A52" s="10"/>
      <c r="B52" s="5" t="s">
        <v>88</v>
      </c>
      <c r="C52" s="5" t="s">
        <v>88</v>
      </c>
      <c r="D52" s="5" t="str">
        <f>IF(B52=C52,"Y","N")</f>
        <v>Y</v>
      </c>
      <c r="E52" s="19" t="s">
        <v>88</v>
      </c>
      <c r="F52" s="5" t="str">
        <f t="shared" si="0"/>
        <v>Y</v>
      </c>
    </row>
    <row r="53" spans="1:9" x14ac:dyDescent="0.25">
      <c r="A53" s="10"/>
      <c r="B53" s="5" t="s">
        <v>89</v>
      </c>
      <c r="C53" s="5" t="s">
        <v>89</v>
      </c>
      <c r="D53" s="5" t="str">
        <f>IF(B53=C53,"Y","N")</f>
        <v>Y</v>
      </c>
      <c r="E53" s="19" t="s">
        <v>89</v>
      </c>
      <c r="F53" s="5" t="str">
        <f t="shared" si="0"/>
        <v>Y</v>
      </c>
    </row>
    <row r="54" spans="1:9" x14ac:dyDescent="0.25">
      <c r="A54" s="10"/>
      <c r="B54" s="5" t="s">
        <v>90</v>
      </c>
      <c r="C54" s="5" t="s">
        <v>90</v>
      </c>
      <c r="D54" s="5" t="str">
        <f>IF(B54=C54,"Y","N")</f>
        <v>Y</v>
      </c>
      <c r="E54" s="19" t="s">
        <v>90</v>
      </c>
      <c r="F54" s="5" t="str">
        <f t="shared" si="0"/>
        <v>Y</v>
      </c>
    </row>
    <row r="55" spans="1:9" x14ac:dyDescent="0.25">
      <c r="A55" s="10"/>
      <c r="B55" s="5" t="s">
        <v>91</v>
      </c>
      <c r="C55" s="5" t="s">
        <v>91</v>
      </c>
      <c r="D55" s="5" t="str">
        <f>IF(B55=C55,"Y","N")</f>
        <v>Y</v>
      </c>
      <c r="E55" s="19" t="s">
        <v>91</v>
      </c>
      <c r="F55" s="5" t="str">
        <f t="shared" si="0"/>
        <v>Y</v>
      </c>
    </row>
    <row r="56" spans="1:9" x14ac:dyDescent="0.25">
      <c r="A56" s="10"/>
      <c r="B56" s="5" t="s">
        <v>92</v>
      </c>
      <c r="C56" s="5" t="s">
        <v>92</v>
      </c>
      <c r="D56" s="5" t="str">
        <f>IF(B56=C56,"Y","N")</f>
        <v>Y</v>
      </c>
      <c r="E56" s="19" t="s">
        <v>92</v>
      </c>
      <c r="F56" s="5" t="str">
        <f t="shared" si="0"/>
        <v>Y</v>
      </c>
    </row>
    <row r="57" spans="1:9" x14ac:dyDescent="0.25">
      <c r="A57" s="10"/>
      <c r="B57" s="5" t="s">
        <v>93</v>
      </c>
      <c r="C57" s="5" t="s">
        <v>93</v>
      </c>
      <c r="D57" s="5" t="str">
        <f>IF(B57=C57,"Y","N")</f>
        <v>Y</v>
      </c>
      <c r="E57" s="19" t="s">
        <v>93</v>
      </c>
      <c r="F57" s="5" t="str">
        <f t="shared" si="0"/>
        <v>Y</v>
      </c>
      <c r="I57"/>
    </row>
    <row r="58" spans="1:9" x14ac:dyDescent="0.25">
      <c r="A58" s="10"/>
      <c r="B58" s="5" t="s">
        <v>95</v>
      </c>
      <c r="C58" s="5" t="s">
        <v>95</v>
      </c>
      <c r="D58" s="5" t="str">
        <f>IF(B58=C58,"Y","N")</f>
        <v>Y</v>
      </c>
      <c r="E58" s="19" t="s">
        <v>95</v>
      </c>
      <c r="F58" s="5" t="str">
        <f t="shared" si="0"/>
        <v>Y</v>
      </c>
    </row>
    <row r="59" spans="1:9" x14ac:dyDescent="0.25">
      <c r="A59" s="10"/>
      <c r="B59" s="5" t="s">
        <v>96</v>
      </c>
      <c r="C59" s="5" t="s">
        <v>96</v>
      </c>
      <c r="D59" s="5" t="str">
        <f>IF(B59=C59,"Y","N")</f>
        <v>Y</v>
      </c>
      <c r="E59" s="19" t="s">
        <v>96</v>
      </c>
      <c r="F59" s="5" t="str">
        <f t="shared" si="0"/>
        <v>Y</v>
      </c>
    </row>
    <row r="60" spans="1:9" x14ac:dyDescent="0.25">
      <c r="A60" s="10"/>
      <c r="B60" s="5" t="s">
        <v>97</v>
      </c>
      <c r="C60" s="5" t="s">
        <v>97</v>
      </c>
      <c r="D60" s="5" t="str">
        <f>IF(B60=C60,"Y","N")</f>
        <v>Y</v>
      </c>
      <c r="E60" s="19" t="s">
        <v>97</v>
      </c>
      <c r="F60" s="5" t="str">
        <f t="shared" si="0"/>
        <v>Y</v>
      </c>
    </row>
    <row r="61" spans="1:9" x14ac:dyDescent="0.25">
      <c r="A61" s="10"/>
      <c r="B61" s="5" t="s">
        <v>98</v>
      </c>
      <c r="C61" s="5" t="s">
        <v>98</v>
      </c>
      <c r="D61" s="5" t="str">
        <f>IF(B61=C61,"Y","N")</f>
        <v>Y</v>
      </c>
      <c r="E61" s="19" t="s">
        <v>98</v>
      </c>
      <c r="F61" s="5" t="str">
        <f t="shared" si="0"/>
        <v>Y</v>
      </c>
      <c r="I61"/>
    </row>
    <row r="62" spans="1:9" x14ac:dyDescent="0.25">
      <c r="A62" s="10"/>
      <c r="B62" s="5" t="s">
        <v>201</v>
      </c>
      <c r="C62" s="5" t="s">
        <v>201</v>
      </c>
      <c r="D62" s="5" t="str">
        <f>IF(B62=C62,"Y","N")</f>
        <v>Y</v>
      </c>
      <c r="E62" s="19" t="s">
        <v>201</v>
      </c>
      <c r="F62" s="5" t="str">
        <f t="shared" si="0"/>
        <v>Y</v>
      </c>
    </row>
    <row r="63" spans="1:9" x14ac:dyDescent="0.25">
      <c r="A63" s="10"/>
      <c r="B63" s="5" t="s">
        <v>100</v>
      </c>
      <c r="C63" s="5" t="s">
        <v>100</v>
      </c>
      <c r="D63" s="5" t="str">
        <f>IF(B63=C63,"Y","N")</f>
        <v>Y</v>
      </c>
      <c r="E63" s="19" t="s">
        <v>100</v>
      </c>
      <c r="F63" s="5" t="str">
        <f t="shared" si="0"/>
        <v>Y</v>
      </c>
    </row>
    <row r="64" spans="1:9" x14ac:dyDescent="0.25">
      <c r="A64" s="10"/>
      <c r="B64" s="5" t="s">
        <v>101</v>
      </c>
      <c r="C64" s="5" t="s">
        <v>101</v>
      </c>
      <c r="D64" s="5" t="str">
        <f>IF(B64=C64,"Y","N")</f>
        <v>Y</v>
      </c>
      <c r="E64" s="19" t="s">
        <v>101</v>
      </c>
      <c r="F64" s="5" t="str">
        <f t="shared" si="0"/>
        <v>Y</v>
      </c>
    </row>
    <row r="65" spans="1:9" x14ac:dyDescent="0.25">
      <c r="A65" s="10"/>
      <c r="B65" s="5" t="s">
        <v>102</v>
      </c>
      <c r="C65" s="5" t="s">
        <v>102</v>
      </c>
      <c r="D65" s="5" t="str">
        <f>IF(B65=C65,"Y","N")</f>
        <v>Y</v>
      </c>
      <c r="E65" s="19" t="s">
        <v>102</v>
      </c>
      <c r="F65" s="5" t="str">
        <f t="shared" si="0"/>
        <v>Y</v>
      </c>
      <c r="I65"/>
    </row>
    <row r="66" spans="1:9" x14ac:dyDescent="0.25">
      <c r="A66" s="10"/>
      <c r="B66" s="5" t="s">
        <v>103</v>
      </c>
      <c r="C66" s="5" t="s">
        <v>103</v>
      </c>
      <c r="D66" s="5" t="str">
        <f>IF(B66=C66,"Y","N")</f>
        <v>Y</v>
      </c>
      <c r="E66" s="19" t="s">
        <v>103</v>
      </c>
      <c r="F66" s="5" t="str">
        <f t="shared" si="0"/>
        <v>Y</v>
      </c>
    </row>
    <row r="67" spans="1:9" x14ac:dyDescent="0.25">
      <c r="A67" s="10"/>
      <c r="B67" s="5" t="s">
        <v>105</v>
      </c>
      <c r="C67" s="5" t="s">
        <v>105</v>
      </c>
      <c r="D67" s="5" t="str">
        <f>IF(B67=C67,"Y","N")</f>
        <v>Y</v>
      </c>
      <c r="E67" s="19" t="s">
        <v>105</v>
      </c>
      <c r="F67" s="5" t="str">
        <f t="shared" si="0"/>
        <v>Y</v>
      </c>
      <c r="I67"/>
    </row>
    <row r="68" spans="1:9" x14ac:dyDescent="0.25">
      <c r="A68" s="10"/>
      <c r="B68" s="5" t="s">
        <v>106</v>
      </c>
      <c r="C68" s="5" t="s">
        <v>106</v>
      </c>
      <c r="D68" s="5" t="str">
        <f>IF(B68=C68,"Y","N")</f>
        <v>Y</v>
      </c>
      <c r="E68" s="19" t="s">
        <v>106</v>
      </c>
      <c r="F68" s="5" t="str">
        <f t="shared" ref="F68:F72" si="1">IF(C68=E68,"Y","N")</f>
        <v>Y</v>
      </c>
      <c r="I68"/>
    </row>
    <row r="69" spans="1:9" x14ac:dyDescent="0.25">
      <c r="A69" s="10"/>
      <c r="B69" s="5" t="s">
        <v>108</v>
      </c>
      <c r="C69" s="5" t="s">
        <v>108</v>
      </c>
      <c r="D69" s="5" t="str">
        <f>IF(B69=C69,"Y","N")</f>
        <v>Y</v>
      </c>
      <c r="E69" s="19" t="s">
        <v>108</v>
      </c>
      <c r="F69" s="5" t="str">
        <f t="shared" si="1"/>
        <v>Y</v>
      </c>
    </row>
    <row r="70" spans="1:9" x14ac:dyDescent="0.25">
      <c r="A70" s="10"/>
      <c r="B70" s="5" t="s">
        <v>110</v>
      </c>
      <c r="C70" s="5" t="s">
        <v>110</v>
      </c>
      <c r="D70" s="5" t="str">
        <f>IF(B70=C70,"Y","N")</f>
        <v>Y</v>
      </c>
      <c r="E70" s="19" t="s">
        <v>110</v>
      </c>
      <c r="F70" s="5" t="str">
        <f t="shared" si="1"/>
        <v>Y</v>
      </c>
    </row>
    <row r="71" spans="1:9" x14ac:dyDescent="0.25">
      <c r="A71" s="10"/>
      <c r="B71" s="5" t="s">
        <v>111</v>
      </c>
      <c r="C71" s="5" t="s">
        <v>111</v>
      </c>
      <c r="D71" s="5" t="str">
        <f>IF(B71=C71,"Y","N")</f>
        <v>Y</v>
      </c>
      <c r="E71" s="19" t="s">
        <v>121</v>
      </c>
      <c r="F71" s="5" t="str">
        <f t="shared" si="1"/>
        <v>N</v>
      </c>
    </row>
    <row r="72" spans="1:9" x14ac:dyDescent="0.25">
      <c r="A72" s="10"/>
      <c r="B72" s="5" t="s">
        <v>112</v>
      </c>
      <c r="C72" s="5" t="s">
        <v>112</v>
      </c>
      <c r="D72" s="5" t="str">
        <f>IF(B72=C72,"Y","N")</f>
        <v>Y</v>
      </c>
      <c r="E72" s="19" t="s">
        <v>122</v>
      </c>
      <c r="F72" s="5" t="str">
        <f t="shared" si="1"/>
        <v>N</v>
      </c>
    </row>
  </sheetData>
  <autoFilter ref="A2:J72" xr:uid="{00000000-0001-0000-0E00-000000000000}"/>
  <conditionalFormatting sqref="E1 D47 D48:E51 D2:E46 D52:D54 D55:E1048576">
    <cfRule type="cellIs" dxfId="32" priority="3" operator="equal">
      <formula>"N"</formula>
    </cfRule>
  </conditionalFormatting>
  <conditionalFormatting sqref="G25">
    <cfRule type="cellIs" dxfId="31" priority="2" operator="equal">
      <formula>"N"</formula>
    </cfRule>
  </conditionalFormatting>
  <conditionalFormatting sqref="F3:F72">
    <cfRule type="cellIs" dxfId="30" priority="1" operator="equal">
      <formula>"N"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26.42578125" style="1" bestFit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202</v>
      </c>
      <c r="C2" s="12" t="s">
        <v>204</v>
      </c>
      <c r="D2" s="5" t="s">
        <v>336</v>
      </c>
      <c r="E2" s="12" t="s">
        <v>203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205</v>
      </c>
      <c r="C10" s="5" t="s">
        <v>205</v>
      </c>
      <c r="D10" s="5" t="str">
        <f>IF(B10=C10,"Y","N")</f>
        <v>Y</v>
      </c>
      <c r="E10" s="19" t="s">
        <v>205</v>
      </c>
      <c r="F10" s="5" t="str">
        <f t="shared" si="0"/>
        <v>Y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17</v>
      </c>
      <c r="C11" s="5" t="s">
        <v>17</v>
      </c>
      <c r="D11" s="5" t="str">
        <f>IF(B11=C11,"Y","N")</f>
        <v>Y</v>
      </c>
      <c r="E11" s="19" t="s">
        <v>31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19</v>
      </c>
      <c r="C12" s="5" t="s">
        <v>19</v>
      </c>
      <c r="D12" s="5" t="str">
        <f>IF(B12=C12,"Y","N")</f>
        <v>Y</v>
      </c>
      <c r="E12" s="19" t="s">
        <v>33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21</v>
      </c>
      <c r="C13" s="5" t="s">
        <v>21</v>
      </c>
      <c r="D13" s="5" t="str">
        <f>IF(B13=C13,"Y","N")</f>
        <v>Y</v>
      </c>
      <c r="E13" s="19" t="s">
        <v>35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23</v>
      </c>
      <c r="C14" s="5" t="s">
        <v>23</v>
      </c>
      <c r="D14" s="5" t="str">
        <f>IF(B14=C14,"Y","N")</f>
        <v>Y</v>
      </c>
      <c r="E14" s="19" t="s">
        <v>37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24</v>
      </c>
      <c r="C15" s="5" t="s">
        <v>24</v>
      </c>
      <c r="D15" s="5" t="str">
        <f>IF(B15=C15,"Y","N")</f>
        <v>Y</v>
      </c>
      <c r="E15" s="19" t="s">
        <v>39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26</v>
      </c>
      <c r="C16" s="5" t="s">
        <v>26</v>
      </c>
      <c r="D16" s="5" t="str">
        <f>IF(B16=C16,"Y","N")</f>
        <v>Y</v>
      </c>
      <c r="E16" s="19" t="s">
        <v>41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28</v>
      </c>
      <c r="C17" s="5" t="s">
        <v>28</v>
      </c>
      <c r="D17" s="5" t="str">
        <f>IF(B17=C17,"Y","N")</f>
        <v>Y</v>
      </c>
      <c r="E17" s="19" t="s">
        <v>43</v>
      </c>
      <c r="F17" s="5" t="str">
        <f t="shared" si="0"/>
        <v>N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30</v>
      </c>
      <c r="C18" s="5" t="s">
        <v>30</v>
      </c>
      <c r="D18" s="5" t="str">
        <f>IF(B18=C18,"Y","N")</f>
        <v>Y</v>
      </c>
      <c r="E18" s="19" t="s">
        <v>30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32</v>
      </c>
      <c r="C19" s="5" t="s">
        <v>32</v>
      </c>
      <c r="D19" s="5" t="str">
        <f>IF(B19=C19,"Y","N")</f>
        <v>Y</v>
      </c>
      <c r="E19" s="19" t="s">
        <v>32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36</v>
      </c>
      <c r="C20" s="5" t="s">
        <v>36</v>
      </c>
      <c r="D20" s="5" t="str">
        <f>IF(B20=C20,"Y","N")</f>
        <v>Y</v>
      </c>
      <c r="E20" s="19" t="s">
        <v>36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38</v>
      </c>
      <c r="C21" s="5" t="s">
        <v>38</v>
      </c>
      <c r="D21" s="5" t="str">
        <f>IF(B21=C21,"Y","N")</f>
        <v>Y</v>
      </c>
      <c r="E21" s="19" t="s">
        <v>38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42</v>
      </c>
      <c r="C22" s="5" t="s">
        <v>42</v>
      </c>
      <c r="D22" s="5" t="str">
        <f>IF(B22=C22,"Y","N")</f>
        <v>Y</v>
      </c>
      <c r="E22" s="19" t="s">
        <v>42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44</v>
      </c>
      <c r="C23" s="5" t="s">
        <v>44</v>
      </c>
      <c r="D23" s="5" t="str">
        <f>IF(B23=C23,"Y","N")</f>
        <v>Y</v>
      </c>
      <c r="E23" s="19" t="s">
        <v>44</v>
      </c>
      <c r="F23" s="5" t="str">
        <f t="shared" si="0"/>
        <v>Y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45</v>
      </c>
      <c r="C24" s="5" t="s">
        <v>45</v>
      </c>
      <c r="D24" s="5" t="str">
        <f>IF(B24=C24,"Y","N")</f>
        <v>Y</v>
      </c>
      <c r="E24" s="6"/>
      <c r="F24" s="5" t="str">
        <f t="shared" si="0"/>
        <v>N</v>
      </c>
      <c r="G24" s="14" t="s">
        <v>341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46</v>
      </c>
      <c r="C25" s="5" t="s">
        <v>46</v>
      </c>
      <c r="D25" s="5" t="str">
        <f>IF(B25=C25,"Y","N")</f>
        <v>Y</v>
      </c>
      <c r="E25" s="19" t="s">
        <v>46</v>
      </c>
      <c r="F25" s="5" t="str">
        <f t="shared" si="0"/>
        <v>Y</v>
      </c>
    </row>
    <row r="26" spans="1:10" x14ac:dyDescent="0.25">
      <c r="A26" s="10"/>
      <c r="B26" s="5" t="s">
        <v>47</v>
      </c>
      <c r="C26" s="5" t="s">
        <v>47</v>
      </c>
      <c r="D26" s="5" t="str">
        <f>IF(B26=C26,"Y","N")</f>
        <v>Y</v>
      </c>
      <c r="E26" s="19" t="s">
        <v>56</v>
      </c>
      <c r="F26" s="5" t="str">
        <f t="shared" si="0"/>
        <v>N</v>
      </c>
    </row>
    <row r="27" spans="1:10" x14ac:dyDescent="0.25">
      <c r="A27" s="10"/>
      <c r="B27" s="5" t="s">
        <v>48</v>
      </c>
      <c r="C27" s="5" t="s">
        <v>48</v>
      </c>
      <c r="D27" s="5" t="str">
        <f>IF(B27=C27,"Y","N")</f>
        <v>Y</v>
      </c>
      <c r="E27" s="19" t="s">
        <v>58</v>
      </c>
      <c r="F27" s="5" t="str">
        <f t="shared" si="0"/>
        <v>N</v>
      </c>
    </row>
    <row r="28" spans="1:10" x14ac:dyDescent="0.25">
      <c r="A28" s="10"/>
      <c r="B28" s="5" t="s">
        <v>49</v>
      </c>
      <c r="C28" s="5" t="s">
        <v>49</v>
      </c>
      <c r="D28" s="5" t="str">
        <f>IF(B28=C28,"Y","N")</f>
        <v>Y</v>
      </c>
      <c r="E28" s="19" t="s">
        <v>60</v>
      </c>
      <c r="F28" s="5" t="str">
        <f t="shared" si="0"/>
        <v>N</v>
      </c>
    </row>
    <row r="29" spans="1:10" x14ac:dyDescent="0.25">
      <c r="A29" s="10"/>
      <c r="B29" s="5" t="s">
        <v>50</v>
      </c>
      <c r="C29" s="5" t="s">
        <v>50</v>
      </c>
      <c r="D29" s="5" t="str">
        <f>IF(B29=C29,"Y","N")</f>
        <v>Y</v>
      </c>
      <c r="E29" s="19" t="s">
        <v>62</v>
      </c>
      <c r="F29" s="5" t="str">
        <f t="shared" si="0"/>
        <v>N</v>
      </c>
    </row>
    <row r="30" spans="1:10" x14ac:dyDescent="0.25">
      <c r="A30" s="10"/>
      <c r="B30" s="5" t="s">
        <v>51</v>
      </c>
      <c r="C30" s="5" t="s">
        <v>51</v>
      </c>
      <c r="D30" s="5" t="str">
        <f>IF(B30=C30,"Y","N")</f>
        <v>Y</v>
      </c>
      <c r="E30" s="19" t="s">
        <v>64</v>
      </c>
      <c r="F30" s="5" t="str">
        <f t="shared" si="0"/>
        <v>N</v>
      </c>
      <c r="I30"/>
    </row>
    <row r="31" spans="1:10" x14ac:dyDescent="0.25">
      <c r="A31" s="10"/>
      <c r="B31" s="5" t="s">
        <v>53</v>
      </c>
      <c r="C31" s="5" t="s">
        <v>53</v>
      </c>
      <c r="D31" s="5" t="str">
        <f>IF(B31=C31,"Y","N")</f>
        <v>Y</v>
      </c>
      <c r="E31" s="19" t="s">
        <v>66</v>
      </c>
      <c r="F31" s="5" t="str">
        <f t="shared" si="0"/>
        <v>N</v>
      </c>
    </row>
    <row r="32" spans="1:10" x14ac:dyDescent="0.25">
      <c r="A32" s="10"/>
      <c r="B32" s="5" t="s">
        <v>54</v>
      </c>
      <c r="C32" s="5" t="s">
        <v>54</v>
      </c>
      <c r="D32" s="5" t="str">
        <f>IF(B32=C32,"Y","N")</f>
        <v>Y</v>
      </c>
      <c r="E32" s="19" t="s">
        <v>68</v>
      </c>
      <c r="F32" s="5" t="str">
        <f t="shared" si="0"/>
        <v>N</v>
      </c>
    </row>
    <row r="33" spans="1:6" x14ac:dyDescent="0.25">
      <c r="A33" s="10"/>
      <c r="B33" s="5" t="s">
        <v>55</v>
      </c>
      <c r="C33" s="5" t="s">
        <v>55</v>
      </c>
      <c r="D33" s="5" t="str">
        <f>IF(B33=C33,"Y","N")</f>
        <v>Y</v>
      </c>
      <c r="E33" s="19" t="s">
        <v>70</v>
      </c>
      <c r="F33" s="5" t="str">
        <f t="shared" si="0"/>
        <v>N</v>
      </c>
    </row>
    <row r="34" spans="1:6" x14ac:dyDescent="0.25">
      <c r="A34" s="10"/>
      <c r="B34" s="5" t="s">
        <v>57</v>
      </c>
      <c r="C34" s="5" t="s">
        <v>57</v>
      </c>
      <c r="D34" s="5" t="str">
        <f>IF(B34=C34,"Y","N")</f>
        <v>Y</v>
      </c>
      <c r="E34" s="19" t="s">
        <v>72</v>
      </c>
      <c r="F34" s="5" t="str">
        <f t="shared" si="0"/>
        <v>N</v>
      </c>
    </row>
    <row r="35" spans="1:6" x14ac:dyDescent="0.25">
      <c r="A35" s="10"/>
      <c r="B35" s="5" t="s">
        <v>59</v>
      </c>
      <c r="C35" s="5" t="s">
        <v>59</v>
      </c>
      <c r="D35" s="5" t="str">
        <f>IF(B35=C35,"Y","N")</f>
        <v>Y</v>
      </c>
      <c r="E35" s="19" t="s">
        <v>74</v>
      </c>
      <c r="F35" s="5" t="str">
        <f t="shared" si="0"/>
        <v>N</v>
      </c>
    </row>
    <row r="36" spans="1:6" x14ac:dyDescent="0.25">
      <c r="A36" s="10"/>
      <c r="B36" s="5" t="s">
        <v>61</v>
      </c>
      <c r="C36" s="5" t="s">
        <v>61</v>
      </c>
      <c r="D36" s="5" t="str">
        <f>IF(B36=C36,"Y","N")</f>
        <v>Y</v>
      </c>
      <c r="E36" s="19" t="s">
        <v>76</v>
      </c>
      <c r="F36" s="5" t="str">
        <f t="shared" si="0"/>
        <v>N</v>
      </c>
    </row>
    <row r="37" spans="1:6" x14ac:dyDescent="0.25">
      <c r="A37" s="10"/>
      <c r="B37" s="5" t="s">
        <v>63</v>
      </c>
      <c r="C37" s="5" t="s">
        <v>63</v>
      </c>
      <c r="D37" s="5" t="str">
        <f>IF(B37=C37,"Y","N")</f>
        <v>Y</v>
      </c>
      <c r="E37" s="19" t="s">
        <v>78</v>
      </c>
      <c r="F37" s="5" t="str">
        <f t="shared" si="0"/>
        <v>N</v>
      </c>
    </row>
    <row r="38" spans="1:6" x14ac:dyDescent="0.25">
      <c r="A38" s="10"/>
      <c r="B38" s="5" t="s">
        <v>65</v>
      </c>
      <c r="C38" s="5" t="s">
        <v>65</v>
      </c>
      <c r="D38" s="5" t="str">
        <f>IF(B38=C38,"Y","N")</f>
        <v>Y</v>
      </c>
      <c r="E38" s="19" t="s">
        <v>80</v>
      </c>
      <c r="F38" s="5" t="str">
        <f t="shared" si="0"/>
        <v>N</v>
      </c>
    </row>
    <row r="39" spans="1:6" x14ac:dyDescent="0.25">
      <c r="A39" s="10"/>
      <c r="B39" s="5" t="s">
        <v>67</v>
      </c>
      <c r="C39" s="5" t="s">
        <v>67</v>
      </c>
      <c r="D39" s="5" t="str">
        <f>IF(B39=C39,"Y","N")</f>
        <v>Y</v>
      </c>
      <c r="E39" s="19" t="s">
        <v>82</v>
      </c>
      <c r="F39" s="5" t="str">
        <f t="shared" si="0"/>
        <v>N</v>
      </c>
    </row>
    <row r="40" spans="1:6" x14ac:dyDescent="0.25">
      <c r="A40" s="10"/>
      <c r="B40" s="5" t="s">
        <v>69</v>
      </c>
      <c r="C40" s="5" t="s">
        <v>69</v>
      </c>
      <c r="D40" s="5" t="str">
        <f>IF(B40=C40,"Y","N")</f>
        <v>Y</v>
      </c>
      <c r="E40" s="19" t="s">
        <v>84</v>
      </c>
      <c r="F40" s="5" t="str">
        <f t="shared" si="0"/>
        <v>N</v>
      </c>
    </row>
    <row r="41" spans="1:6" x14ac:dyDescent="0.25">
      <c r="A41" s="10"/>
      <c r="B41" s="5" t="s">
        <v>71</v>
      </c>
      <c r="C41" s="5" t="s">
        <v>71</v>
      </c>
      <c r="D41" s="5" t="str">
        <f>IF(B41=C41,"Y","N")</f>
        <v>Y</v>
      </c>
      <c r="E41" s="19" t="s">
        <v>71</v>
      </c>
      <c r="F41" s="5" t="str">
        <f t="shared" si="0"/>
        <v>Y</v>
      </c>
    </row>
    <row r="42" spans="1:6" x14ac:dyDescent="0.25">
      <c r="A42" s="10"/>
      <c r="B42" s="5" t="s">
        <v>73</v>
      </c>
      <c r="C42" s="5" t="s">
        <v>73</v>
      </c>
      <c r="D42" s="5" t="str">
        <f>IF(B42=C42,"Y","N")</f>
        <v>Y</v>
      </c>
      <c r="E42" s="19" t="s">
        <v>73</v>
      </c>
      <c r="F42" s="5" t="str">
        <f t="shared" si="0"/>
        <v>Y</v>
      </c>
    </row>
    <row r="43" spans="1:6" x14ac:dyDescent="0.25">
      <c r="A43" s="10"/>
      <c r="B43" s="5" t="s">
        <v>75</v>
      </c>
      <c r="C43" s="5" t="s">
        <v>75</v>
      </c>
      <c r="D43" s="5" t="str">
        <f>IF(B43=C43,"Y","N")</f>
        <v>Y</v>
      </c>
      <c r="E43" s="19" t="s">
        <v>75</v>
      </c>
      <c r="F43" s="5" t="str">
        <f t="shared" si="0"/>
        <v>Y</v>
      </c>
    </row>
    <row r="44" spans="1:6" x14ac:dyDescent="0.25">
      <c r="A44" s="10"/>
      <c r="B44" s="5" t="s">
        <v>77</v>
      </c>
      <c r="C44" s="5" t="s">
        <v>77</v>
      </c>
      <c r="D44" s="5" t="str">
        <f>IF(B44=C44,"Y","N")</f>
        <v>Y</v>
      </c>
      <c r="E44" s="19" t="s">
        <v>77</v>
      </c>
      <c r="F44" s="5" t="str">
        <f t="shared" si="0"/>
        <v>Y</v>
      </c>
    </row>
    <row r="45" spans="1:6" x14ac:dyDescent="0.25">
      <c r="A45" s="10"/>
      <c r="B45" s="5" t="s">
        <v>79</v>
      </c>
      <c r="C45" s="5" t="s">
        <v>79</v>
      </c>
      <c r="D45" s="5" t="str">
        <f>IF(B45=C45,"Y","N")</f>
        <v>Y</v>
      </c>
      <c r="E45" s="19" t="s">
        <v>79</v>
      </c>
      <c r="F45" s="5" t="str">
        <f t="shared" si="0"/>
        <v>Y</v>
      </c>
    </row>
    <row r="46" spans="1:6" x14ac:dyDescent="0.25">
      <c r="A46" s="10"/>
      <c r="B46" s="5" t="s">
        <v>81</v>
      </c>
      <c r="C46" s="5" t="s">
        <v>81</v>
      </c>
      <c r="D46" s="5" t="str">
        <f>IF(B46=C46,"Y","N")</f>
        <v>Y</v>
      </c>
      <c r="E46" s="19" t="s">
        <v>81</v>
      </c>
      <c r="F46" s="5" t="str">
        <f t="shared" si="0"/>
        <v>Y</v>
      </c>
    </row>
    <row r="47" spans="1:6" x14ac:dyDescent="0.25">
      <c r="A47" s="10"/>
      <c r="B47" s="5" t="s">
        <v>83</v>
      </c>
      <c r="C47" s="5" t="s">
        <v>83</v>
      </c>
      <c r="D47" s="5" t="str">
        <f>IF(B47=C47,"Y","N")</f>
        <v>Y</v>
      </c>
      <c r="E47" s="19" t="s">
        <v>83</v>
      </c>
      <c r="F47" s="5" t="str">
        <f t="shared" si="0"/>
        <v>Y</v>
      </c>
    </row>
    <row r="48" spans="1:6" x14ac:dyDescent="0.25">
      <c r="A48" s="10"/>
      <c r="B48" s="5" t="s">
        <v>85</v>
      </c>
      <c r="C48" s="5" t="s">
        <v>85</v>
      </c>
      <c r="D48" s="5" t="str">
        <f>IF(B48=C48,"Y","N")</f>
        <v>Y</v>
      </c>
      <c r="E48" s="19" t="s">
        <v>85</v>
      </c>
      <c r="F48" s="5" t="str">
        <f t="shared" si="0"/>
        <v>Y</v>
      </c>
    </row>
    <row r="49" spans="1:9" x14ac:dyDescent="0.25">
      <c r="A49" s="10"/>
      <c r="B49" s="5" t="s">
        <v>86</v>
      </c>
      <c r="C49" s="5" t="s">
        <v>86</v>
      </c>
      <c r="D49" s="5" t="str">
        <f>IF(B49=C49,"Y","N")</f>
        <v>Y</v>
      </c>
      <c r="E49" s="19" t="s">
        <v>86</v>
      </c>
      <c r="F49" s="5" t="str">
        <f t="shared" si="0"/>
        <v>Y</v>
      </c>
      <c r="I49"/>
    </row>
    <row r="50" spans="1:9" x14ac:dyDescent="0.25">
      <c r="A50" s="10"/>
      <c r="B50" s="5" t="s">
        <v>206</v>
      </c>
      <c r="C50" s="5" t="s">
        <v>206</v>
      </c>
      <c r="D50" s="5" t="str">
        <f>IF(B50=C50,"Y","N")</f>
        <v>Y</v>
      </c>
      <c r="E50" s="19" t="s">
        <v>206</v>
      </c>
      <c r="F50" s="5" t="str">
        <f t="shared" si="0"/>
        <v>Y</v>
      </c>
    </row>
    <row r="51" spans="1:9" x14ac:dyDescent="0.25">
      <c r="A51" s="10"/>
      <c r="B51" s="5" t="s">
        <v>88</v>
      </c>
      <c r="C51" s="5" t="s">
        <v>88</v>
      </c>
      <c r="D51" s="5" t="str">
        <f>IF(B51=C51,"Y","N")</f>
        <v>Y</v>
      </c>
      <c r="E51" s="19" t="s">
        <v>88</v>
      </c>
      <c r="F51" s="5" t="str">
        <f t="shared" si="0"/>
        <v>Y</v>
      </c>
    </row>
    <row r="52" spans="1:9" x14ac:dyDescent="0.25">
      <c r="A52" s="10"/>
      <c r="B52" s="5" t="s">
        <v>89</v>
      </c>
      <c r="C52" s="5" t="s">
        <v>89</v>
      </c>
      <c r="D52" s="5" t="str">
        <f>IF(B52=C52,"Y","N")</f>
        <v>Y</v>
      </c>
      <c r="E52" s="19" t="s">
        <v>89</v>
      </c>
      <c r="F52" s="5" t="str">
        <f t="shared" si="0"/>
        <v>Y</v>
      </c>
    </row>
    <row r="53" spans="1:9" x14ac:dyDescent="0.25">
      <c r="A53" s="10"/>
      <c r="B53" s="5" t="s">
        <v>90</v>
      </c>
      <c r="C53" s="5" t="s">
        <v>90</v>
      </c>
      <c r="D53" s="5" t="str">
        <f>IF(B53=C53,"Y","N")</f>
        <v>Y</v>
      </c>
      <c r="E53" s="19" t="s">
        <v>90</v>
      </c>
      <c r="F53" s="5" t="str">
        <f t="shared" si="0"/>
        <v>Y</v>
      </c>
    </row>
    <row r="54" spans="1:9" x14ac:dyDescent="0.25">
      <c r="A54" s="10"/>
      <c r="B54" s="5" t="s">
        <v>91</v>
      </c>
      <c r="C54" s="5" t="s">
        <v>91</v>
      </c>
      <c r="D54" s="5" t="str">
        <f>IF(B54=C54,"Y","N")</f>
        <v>Y</v>
      </c>
      <c r="E54" s="19" t="s">
        <v>91</v>
      </c>
      <c r="F54" s="5" t="str">
        <f t="shared" si="0"/>
        <v>Y</v>
      </c>
    </row>
    <row r="55" spans="1:9" x14ac:dyDescent="0.25">
      <c r="A55" s="10"/>
      <c r="B55" s="5" t="s">
        <v>92</v>
      </c>
      <c r="C55" s="5" t="s">
        <v>92</v>
      </c>
      <c r="D55" s="5" t="str">
        <f>IF(B55=C55,"Y","N")</f>
        <v>Y</v>
      </c>
      <c r="E55" s="19" t="s">
        <v>92</v>
      </c>
      <c r="F55" s="5" t="str">
        <f t="shared" si="0"/>
        <v>Y</v>
      </c>
      <c r="I55"/>
    </row>
    <row r="56" spans="1:9" x14ac:dyDescent="0.25">
      <c r="A56" s="10"/>
      <c r="B56" s="5" t="s">
        <v>93</v>
      </c>
      <c r="C56" s="5" t="s">
        <v>93</v>
      </c>
      <c r="D56" s="5" t="str">
        <f>IF(B56=C56,"Y","N")</f>
        <v>Y</v>
      </c>
      <c r="E56" s="19" t="s">
        <v>93</v>
      </c>
      <c r="F56" s="5" t="str">
        <f t="shared" si="0"/>
        <v>Y</v>
      </c>
    </row>
    <row r="57" spans="1:9" x14ac:dyDescent="0.25">
      <c r="A57" s="10"/>
      <c r="B57" s="5" t="s">
        <v>95</v>
      </c>
      <c r="C57" s="5" t="s">
        <v>95</v>
      </c>
      <c r="D57" s="5" t="str">
        <f>IF(B57=C57,"Y","N")</f>
        <v>Y</v>
      </c>
      <c r="E57" s="19" t="s">
        <v>95</v>
      </c>
      <c r="F57" s="5" t="str">
        <f t="shared" si="0"/>
        <v>Y</v>
      </c>
    </row>
    <row r="58" spans="1:9" x14ac:dyDescent="0.25">
      <c r="A58" s="10"/>
      <c r="B58" s="5" t="s">
        <v>96</v>
      </c>
      <c r="C58" s="5" t="s">
        <v>96</v>
      </c>
      <c r="D58" s="5" t="str">
        <f>IF(B58=C58,"Y","N")</f>
        <v>Y</v>
      </c>
      <c r="E58" s="19" t="s">
        <v>96</v>
      </c>
      <c r="F58" s="5" t="str">
        <f t="shared" si="0"/>
        <v>Y</v>
      </c>
    </row>
    <row r="59" spans="1:9" x14ac:dyDescent="0.25">
      <c r="A59" s="10"/>
      <c r="B59" s="5" t="s">
        <v>97</v>
      </c>
      <c r="C59" s="5" t="s">
        <v>97</v>
      </c>
      <c r="D59" s="5" t="str">
        <f>IF(B59=C59,"Y","N")</f>
        <v>Y</v>
      </c>
      <c r="E59" s="19" t="s">
        <v>97</v>
      </c>
      <c r="F59" s="5" t="str">
        <f t="shared" si="0"/>
        <v>Y</v>
      </c>
      <c r="I59"/>
    </row>
    <row r="60" spans="1:9" x14ac:dyDescent="0.25">
      <c r="A60" s="10"/>
      <c r="B60" s="5" t="s">
        <v>98</v>
      </c>
      <c r="C60" s="5" t="s">
        <v>98</v>
      </c>
      <c r="D60" s="5" t="str">
        <f>IF(B60=C60,"Y","N")</f>
        <v>Y</v>
      </c>
      <c r="E60" s="19" t="s">
        <v>98</v>
      </c>
      <c r="F60" s="5" t="str">
        <f t="shared" si="0"/>
        <v>Y</v>
      </c>
    </row>
    <row r="61" spans="1:9" x14ac:dyDescent="0.25">
      <c r="A61" s="10"/>
      <c r="B61" s="5" t="s">
        <v>100</v>
      </c>
      <c r="C61" s="5" t="s">
        <v>100</v>
      </c>
      <c r="D61" s="5" t="str">
        <f>IF(B61=C61,"Y","N")</f>
        <v>Y</v>
      </c>
      <c r="E61" s="19" t="s">
        <v>100</v>
      </c>
      <c r="F61" s="5" t="str">
        <f t="shared" si="0"/>
        <v>Y</v>
      </c>
    </row>
    <row r="62" spans="1:9" x14ac:dyDescent="0.25">
      <c r="A62" s="10"/>
      <c r="B62" s="5" t="s">
        <v>101</v>
      </c>
      <c r="C62" s="5" t="s">
        <v>101</v>
      </c>
      <c r="D62" s="5" t="str">
        <f>IF(B62=C62,"Y","N")</f>
        <v>Y</v>
      </c>
      <c r="E62" s="19" t="s">
        <v>101</v>
      </c>
      <c r="F62" s="5" t="str">
        <f t="shared" si="0"/>
        <v>Y</v>
      </c>
    </row>
    <row r="63" spans="1:9" x14ac:dyDescent="0.25">
      <c r="A63" s="10"/>
      <c r="B63" s="5" t="s">
        <v>102</v>
      </c>
      <c r="C63" s="5" t="s">
        <v>102</v>
      </c>
      <c r="D63" s="5" t="str">
        <f>IF(B63=C63,"Y","N")</f>
        <v>Y</v>
      </c>
      <c r="E63" s="19" t="s">
        <v>102</v>
      </c>
      <c r="F63" s="5" t="str">
        <f t="shared" si="0"/>
        <v>Y</v>
      </c>
    </row>
    <row r="64" spans="1:9" x14ac:dyDescent="0.25">
      <c r="A64" s="10"/>
      <c r="B64" s="5" t="s">
        <v>207</v>
      </c>
      <c r="C64" s="5" t="s">
        <v>207</v>
      </c>
      <c r="D64" s="5" t="str">
        <f>IF(B64=C64,"Y","N")</f>
        <v>Y</v>
      </c>
      <c r="E64" s="19" t="s">
        <v>207</v>
      </c>
      <c r="F64" s="5" t="str">
        <f t="shared" si="0"/>
        <v>Y</v>
      </c>
      <c r="I64"/>
    </row>
    <row r="65" spans="1:9" x14ac:dyDescent="0.25">
      <c r="A65" s="10"/>
      <c r="B65" s="5" t="s">
        <v>103</v>
      </c>
      <c r="C65" s="5" t="s">
        <v>103</v>
      </c>
      <c r="D65" s="5" t="str">
        <f>IF(B65=C65,"Y","N")</f>
        <v>Y</v>
      </c>
      <c r="E65" s="19" t="s">
        <v>103</v>
      </c>
      <c r="F65" s="5" t="str">
        <f t="shared" si="0"/>
        <v>Y</v>
      </c>
    </row>
    <row r="66" spans="1:9" x14ac:dyDescent="0.25">
      <c r="A66" s="10"/>
      <c r="B66" s="5" t="s">
        <v>105</v>
      </c>
      <c r="C66" s="5" t="s">
        <v>105</v>
      </c>
      <c r="D66" s="5" t="str">
        <f>IF(B66=C66,"Y","N")</f>
        <v>Y</v>
      </c>
      <c r="E66" s="19" t="s">
        <v>105</v>
      </c>
      <c r="F66" s="5" t="str">
        <f t="shared" si="0"/>
        <v>Y</v>
      </c>
      <c r="I66"/>
    </row>
    <row r="67" spans="1:9" x14ac:dyDescent="0.25">
      <c r="A67" s="10"/>
      <c r="B67" s="5" t="s">
        <v>106</v>
      </c>
      <c r="C67" s="5" t="s">
        <v>106</v>
      </c>
      <c r="D67" s="5" t="str">
        <f>IF(B67=C67,"Y","N")</f>
        <v>Y</v>
      </c>
      <c r="E67" s="19" t="s">
        <v>106</v>
      </c>
      <c r="F67" s="5" t="str">
        <f t="shared" si="0"/>
        <v>Y</v>
      </c>
      <c r="I67"/>
    </row>
    <row r="68" spans="1:9" x14ac:dyDescent="0.25">
      <c r="A68" s="10"/>
      <c r="B68" s="5" t="s">
        <v>208</v>
      </c>
      <c r="C68" s="5" t="s">
        <v>208</v>
      </c>
      <c r="D68" s="5" t="str">
        <f>IF(B68=C68,"Y","N")</f>
        <v>Y</v>
      </c>
      <c r="E68" s="19" t="s">
        <v>208</v>
      </c>
      <c r="F68" s="5" t="str">
        <f t="shared" ref="F68:F71" si="1">IF(C68=E68,"Y","N")</f>
        <v>Y</v>
      </c>
    </row>
    <row r="69" spans="1:9" x14ac:dyDescent="0.25">
      <c r="A69" s="10"/>
      <c r="B69" s="5" t="s">
        <v>110</v>
      </c>
      <c r="C69" s="5" t="s">
        <v>110</v>
      </c>
      <c r="D69" s="5" t="str">
        <f>IF(B69=C69,"Y","N")</f>
        <v>Y</v>
      </c>
      <c r="E69" s="19" t="s">
        <v>110</v>
      </c>
      <c r="F69" s="5" t="str">
        <f t="shared" si="1"/>
        <v>Y</v>
      </c>
    </row>
    <row r="70" spans="1:9" x14ac:dyDescent="0.25">
      <c r="A70" s="10"/>
      <c r="B70" s="5" t="s">
        <v>111</v>
      </c>
      <c r="C70" s="5" t="s">
        <v>111</v>
      </c>
      <c r="D70" s="5" t="str">
        <f>IF(B70=C70,"Y","N")</f>
        <v>Y</v>
      </c>
      <c r="E70" s="19" t="s">
        <v>121</v>
      </c>
      <c r="F70" s="5" t="str">
        <f t="shared" si="1"/>
        <v>N</v>
      </c>
    </row>
    <row r="71" spans="1:9" x14ac:dyDescent="0.25">
      <c r="A71" s="10"/>
      <c r="B71" s="5" t="s">
        <v>112</v>
      </c>
      <c r="C71" s="5" t="s">
        <v>112</v>
      </c>
      <c r="D71" s="5" t="str">
        <f>IF(B71=C71,"Y","N")</f>
        <v>Y</v>
      </c>
      <c r="E71" s="19" t="s">
        <v>122</v>
      </c>
      <c r="F71" s="5" t="str">
        <f t="shared" si="1"/>
        <v>N</v>
      </c>
    </row>
  </sheetData>
  <autoFilter ref="A2:J71" xr:uid="{00000000-0001-0000-0F00-000000000000}"/>
  <conditionalFormatting sqref="E1 D47 D48:E51 D52:D54 D2:E22 D23 I49 D24:E46 D55:E1048576">
    <cfRule type="cellIs" dxfId="29" priority="3" operator="equal">
      <formula>"N"</formula>
    </cfRule>
  </conditionalFormatting>
  <conditionalFormatting sqref="G24">
    <cfRule type="cellIs" dxfId="28" priority="2" operator="equal">
      <formula>"N"</formula>
    </cfRule>
  </conditionalFormatting>
  <conditionalFormatting sqref="F3:F71">
    <cfRule type="cellIs" dxfId="27" priority="1" operator="equal">
      <formula>"N"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209</v>
      </c>
      <c r="C2" s="12" t="s">
        <v>211</v>
      </c>
      <c r="D2" s="5" t="s">
        <v>336</v>
      </c>
      <c r="E2" s="12" t="s">
        <v>210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212</v>
      </c>
      <c r="C10" s="5" t="s">
        <v>212</v>
      </c>
      <c r="D10" s="5" t="str">
        <f>IF(B10=C10,"Y","N")</f>
        <v>Y</v>
      </c>
      <c r="E10" s="19" t="s">
        <v>212</v>
      </c>
      <c r="F10" s="5" t="str">
        <f t="shared" si="0"/>
        <v>Y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17</v>
      </c>
      <c r="C11" s="5" t="s">
        <v>17</v>
      </c>
      <c r="D11" s="5" t="str">
        <f>IF(B11=C11,"Y","N")</f>
        <v>Y</v>
      </c>
      <c r="E11" s="19" t="s">
        <v>31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19</v>
      </c>
      <c r="C12" s="5" t="s">
        <v>19</v>
      </c>
      <c r="D12" s="5" t="str">
        <f>IF(B12=C12,"Y","N")</f>
        <v>Y</v>
      </c>
      <c r="E12" s="19" t="s">
        <v>33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21</v>
      </c>
      <c r="C13" s="5" t="s">
        <v>21</v>
      </c>
      <c r="D13" s="5" t="str">
        <f>IF(B13=C13,"Y","N")</f>
        <v>Y</v>
      </c>
      <c r="E13" s="19" t="s">
        <v>35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23</v>
      </c>
      <c r="C14" s="5" t="s">
        <v>23</v>
      </c>
      <c r="D14" s="5" t="str">
        <f>IF(B14=C14,"Y","N")</f>
        <v>Y</v>
      </c>
      <c r="E14" s="19" t="s">
        <v>37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24</v>
      </c>
      <c r="C15" s="5" t="s">
        <v>24</v>
      </c>
      <c r="D15" s="5" t="str">
        <f>IF(B15=C15,"Y","N")</f>
        <v>Y</v>
      </c>
      <c r="E15" s="19" t="s">
        <v>39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26</v>
      </c>
      <c r="C16" s="5" t="s">
        <v>26</v>
      </c>
      <c r="D16" s="5" t="str">
        <f>IF(B16=C16,"Y","N")</f>
        <v>Y</v>
      </c>
      <c r="E16" s="19" t="s">
        <v>41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28</v>
      </c>
      <c r="C17" s="5" t="s">
        <v>28</v>
      </c>
      <c r="D17" s="5" t="str">
        <f>IF(B17=C17,"Y","N")</f>
        <v>Y</v>
      </c>
      <c r="E17" s="19" t="s">
        <v>43</v>
      </c>
      <c r="F17" s="5" t="str">
        <f t="shared" si="0"/>
        <v>N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30</v>
      </c>
      <c r="C18" s="5" t="s">
        <v>30</v>
      </c>
      <c r="D18" s="5" t="str">
        <f>IF(B18=C18,"Y","N")</f>
        <v>Y</v>
      </c>
      <c r="E18" s="19" t="s">
        <v>30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32</v>
      </c>
      <c r="C19" s="5" t="s">
        <v>32</v>
      </c>
      <c r="D19" s="5" t="str">
        <f>IF(B19=C19,"Y","N")</f>
        <v>Y</v>
      </c>
      <c r="E19" s="19" t="s">
        <v>32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36</v>
      </c>
      <c r="C20" s="5" t="s">
        <v>36</v>
      </c>
      <c r="D20" s="5" t="str">
        <f>IF(B20=C20,"Y","N")</f>
        <v>Y</v>
      </c>
      <c r="E20" s="19" t="s">
        <v>36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38</v>
      </c>
      <c r="C21" s="5" t="s">
        <v>38</v>
      </c>
      <c r="D21" s="5" t="str">
        <f>IF(B21=C21,"Y","N")</f>
        <v>Y</v>
      </c>
      <c r="E21" s="19" t="s">
        <v>38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42</v>
      </c>
      <c r="C22" s="5" t="s">
        <v>42</v>
      </c>
      <c r="D22" s="5" t="str">
        <f>IF(B22=C22,"Y","N")</f>
        <v>Y</v>
      </c>
      <c r="E22" s="19" t="s">
        <v>42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44</v>
      </c>
      <c r="C23" s="5" t="s">
        <v>44</v>
      </c>
      <c r="D23" s="5" t="str">
        <f>IF(B23=C23,"Y","N")</f>
        <v>Y</v>
      </c>
      <c r="E23" s="19" t="s">
        <v>44</v>
      </c>
      <c r="F23" s="5" t="str">
        <f t="shared" si="0"/>
        <v>Y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45</v>
      </c>
      <c r="C24" s="5" t="s">
        <v>45</v>
      </c>
      <c r="D24" s="5" t="str">
        <f>IF(B24=C24,"Y","N")</f>
        <v>Y</v>
      </c>
      <c r="E24" s="6"/>
      <c r="F24" s="5" t="str">
        <f t="shared" si="0"/>
        <v>N</v>
      </c>
      <c r="G24" s="14" t="s">
        <v>341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46</v>
      </c>
      <c r="C25" s="5" t="s">
        <v>46</v>
      </c>
      <c r="D25" s="5" t="str">
        <f>IF(B25=C25,"Y","N")</f>
        <v>Y</v>
      </c>
      <c r="E25" s="19" t="s">
        <v>46</v>
      </c>
      <c r="F25" s="5" t="str">
        <f t="shared" si="0"/>
        <v>Y</v>
      </c>
    </row>
    <row r="26" spans="1:10" x14ac:dyDescent="0.25">
      <c r="A26" s="10"/>
      <c r="B26" s="5" t="s">
        <v>47</v>
      </c>
      <c r="C26" s="5" t="s">
        <v>47</v>
      </c>
      <c r="D26" s="5" t="str">
        <f>IF(B26=C26,"Y","N")</f>
        <v>Y</v>
      </c>
      <c r="E26" s="19" t="s">
        <v>56</v>
      </c>
      <c r="F26" s="5" t="str">
        <f t="shared" si="0"/>
        <v>N</v>
      </c>
    </row>
    <row r="27" spans="1:10" x14ac:dyDescent="0.25">
      <c r="A27" s="10"/>
      <c r="B27" s="5" t="s">
        <v>213</v>
      </c>
      <c r="C27" s="5" t="s">
        <v>213</v>
      </c>
      <c r="D27" s="5" t="str">
        <f>IF(B27=C27,"Y","N")</f>
        <v>Y</v>
      </c>
      <c r="E27" s="19" t="s">
        <v>213</v>
      </c>
      <c r="F27" s="5" t="str">
        <f t="shared" si="0"/>
        <v>Y</v>
      </c>
    </row>
    <row r="28" spans="1:10" x14ac:dyDescent="0.25">
      <c r="A28" s="10"/>
      <c r="B28" s="5" t="s">
        <v>48</v>
      </c>
      <c r="C28" s="5" t="s">
        <v>48</v>
      </c>
      <c r="D28" s="5" t="str">
        <f>IF(B28=C28,"Y","N")</f>
        <v>Y</v>
      </c>
      <c r="E28" s="19" t="s">
        <v>58</v>
      </c>
      <c r="F28" s="5" t="str">
        <f t="shared" si="0"/>
        <v>N</v>
      </c>
    </row>
    <row r="29" spans="1:10" x14ac:dyDescent="0.25">
      <c r="A29" s="10"/>
      <c r="B29" s="5" t="s">
        <v>49</v>
      </c>
      <c r="C29" s="5" t="s">
        <v>49</v>
      </c>
      <c r="D29" s="5" t="str">
        <f>IF(B29=C29,"Y","N")</f>
        <v>Y</v>
      </c>
      <c r="E29" s="19" t="s">
        <v>60</v>
      </c>
      <c r="F29" s="5" t="str">
        <f t="shared" si="0"/>
        <v>N</v>
      </c>
    </row>
    <row r="30" spans="1:10" x14ac:dyDescent="0.25">
      <c r="A30" s="10"/>
      <c r="B30" s="5" t="s">
        <v>50</v>
      </c>
      <c r="C30" s="5" t="s">
        <v>50</v>
      </c>
      <c r="D30" s="5" t="str">
        <f>IF(B30=C30,"Y","N")</f>
        <v>Y</v>
      </c>
      <c r="E30" s="19" t="s">
        <v>62</v>
      </c>
      <c r="F30" s="5" t="str">
        <f t="shared" si="0"/>
        <v>N</v>
      </c>
      <c r="I30"/>
    </row>
    <row r="31" spans="1:10" x14ac:dyDescent="0.25">
      <c r="A31" s="10"/>
      <c r="B31" s="5" t="s">
        <v>51</v>
      </c>
      <c r="C31" s="5" t="s">
        <v>51</v>
      </c>
      <c r="D31" s="5" t="str">
        <f>IF(B31=C31,"Y","N")</f>
        <v>Y</v>
      </c>
      <c r="E31" s="19" t="s">
        <v>64</v>
      </c>
      <c r="F31" s="5" t="str">
        <f t="shared" si="0"/>
        <v>N</v>
      </c>
    </row>
    <row r="32" spans="1:10" x14ac:dyDescent="0.25">
      <c r="A32" s="10"/>
      <c r="B32" s="5" t="s">
        <v>53</v>
      </c>
      <c r="C32" s="5" t="s">
        <v>53</v>
      </c>
      <c r="D32" s="5" t="str">
        <f>IF(B32=C32,"Y","N")</f>
        <v>Y</v>
      </c>
      <c r="E32" s="19" t="s">
        <v>66</v>
      </c>
      <c r="F32" s="5" t="str">
        <f t="shared" si="0"/>
        <v>N</v>
      </c>
    </row>
    <row r="33" spans="1:6" x14ac:dyDescent="0.25">
      <c r="A33" s="10"/>
      <c r="B33" s="5" t="s">
        <v>54</v>
      </c>
      <c r="C33" s="5" t="s">
        <v>54</v>
      </c>
      <c r="D33" s="5" t="str">
        <f>IF(B33=C33,"Y","N")</f>
        <v>Y</v>
      </c>
      <c r="E33" s="19" t="s">
        <v>68</v>
      </c>
      <c r="F33" s="5" t="str">
        <f t="shared" si="0"/>
        <v>N</v>
      </c>
    </row>
    <row r="34" spans="1:6" x14ac:dyDescent="0.25">
      <c r="A34" s="10"/>
      <c r="B34" s="5" t="s">
        <v>55</v>
      </c>
      <c r="C34" s="5" t="s">
        <v>55</v>
      </c>
      <c r="D34" s="5" t="str">
        <f>IF(B34=C34,"Y","N")</f>
        <v>Y</v>
      </c>
      <c r="E34" s="19" t="s">
        <v>70</v>
      </c>
      <c r="F34" s="5" t="str">
        <f t="shared" si="0"/>
        <v>N</v>
      </c>
    </row>
    <row r="35" spans="1:6" x14ac:dyDescent="0.25">
      <c r="A35" s="10"/>
      <c r="B35" s="5" t="s">
        <v>57</v>
      </c>
      <c r="C35" s="5" t="s">
        <v>57</v>
      </c>
      <c r="D35" s="5" t="str">
        <f>IF(B35=C35,"Y","N")</f>
        <v>Y</v>
      </c>
      <c r="E35" s="19" t="s">
        <v>72</v>
      </c>
      <c r="F35" s="5" t="str">
        <f t="shared" si="0"/>
        <v>N</v>
      </c>
    </row>
    <row r="36" spans="1:6" x14ac:dyDescent="0.25">
      <c r="A36" s="10"/>
      <c r="B36" s="5" t="s">
        <v>59</v>
      </c>
      <c r="C36" s="5" t="s">
        <v>59</v>
      </c>
      <c r="D36" s="5" t="str">
        <f>IF(B36=C36,"Y","N")</f>
        <v>Y</v>
      </c>
      <c r="E36" s="19" t="s">
        <v>74</v>
      </c>
      <c r="F36" s="5" t="str">
        <f t="shared" si="0"/>
        <v>N</v>
      </c>
    </row>
    <row r="37" spans="1:6" x14ac:dyDescent="0.25">
      <c r="A37" s="10"/>
      <c r="B37" s="5" t="s">
        <v>61</v>
      </c>
      <c r="C37" s="5" t="s">
        <v>61</v>
      </c>
      <c r="D37" s="5" t="str">
        <f>IF(B37=C37,"Y","N")</f>
        <v>Y</v>
      </c>
      <c r="E37" s="19" t="s">
        <v>76</v>
      </c>
      <c r="F37" s="5" t="str">
        <f t="shared" si="0"/>
        <v>N</v>
      </c>
    </row>
    <row r="38" spans="1:6" x14ac:dyDescent="0.25">
      <c r="A38" s="10"/>
      <c r="B38" s="5" t="s">
        <v>63</v>
      </c>
      <c r="C38" s="5" t="s">
        <v>63</v>
      </c>
      <c r="D38" s="5" t="str">
        <f>IF(B38=C38,"Y","N")</f>
        <v>Y</v>
      </c>
      <c r="E38" s="19" t="s">
        <v>78</v>
      </c>
      <c r="F38" s="5" t="str">
        <f t="shared" si="0"/>
        <v>N</v>
      </c>
    </row>
    <row r="39" spans="1:6" x14ac:dyDescent="0.25">
      <c r="A39" s="10"/>
      <c r="B39" s="5" t="s">
        <v>65</v>
      </c>
      <c r="C39" s="5" t="s">
        <v>65</v>
      </c>
      <c r="D39" s="5" t="str">
        <f>IF(B39=C39,"Y","N")</f>
        <v>Y</v>
      </c>
      <c r="E39" s="19" t="s">
        <v>80</v>
      </c>
      <c r="F39" s="5" t="str">
        <f t="shared" si="0"/>
        <v>N</v>
      </c>
    </row>
    <row r="40" spans="1:6" x14ac:dyDescent="0.25">
      <c r="A40" s="10"/>
      <c r="B40" s="5" t="s">
        <v>67</v>
      </c>
      <c r="C40" s="5" t="s">
        <v>67</v>
      </c>
      <c r="D40" s="5" t="str">
        <f>IF(B40=C40,"Y","N")</f>
        <v>Y</v>
      </c>
      <c r="E40" s="19" t="s">
        <v>82</v>
      </c>
      <c r="F40" s="5" t="str">
        <f t="shared" si="0"/>
        <v>N</v>
      </c>
    </row>
    <row r="41" spans="1:6" x14ac:dyDescent="0.25">
      <c r="A41" s="10"/>
      <c r="B41" s="5" t="s">
        <v>69</v>
      </c>
      <c r="C41" s="5" t="s">
        <v>69</v>
      </c>
      <c r="D41" s="5" t="str">
        <f>IF(B41=C41,"Y","N")</f>
        <v>Y</v>
      </c>
      <c r="E41" s="19" t="s">
        <v>84</v>
      </c>
      <c r="F41" s="5" t="str">
        <f t="shared" si="0"/>
        <v>N</v>
      </c>
    </row>
    <row r="42" spans="1:6" x14ac:dyDescent="0.25">
      <c r="A42" s="10"/>
      <c r="B42" s="5" t="s">
        <v>71</v>
      </c>
      <c r="C42" s="5" t="s">
        <v>71</v>
      </c>
      <c r="D42" s="5" t="str">
        <f>IF(B42=C42,"Y","N")</f>
        <v>Y</v>
      </c>
      <c r="E42" s="19" t="s">
        <v>71</v>
      </c>
      <c r="F42" s="5" t="str">
        <f t="shared" si="0"/>
        <v>Y</v>
      </c>
    </row>
    <row r="43" spans="1:6" x14ac:dyDescent="0.25">
      <c r="A43" s="10"/>
      <c r="B43" s="5" t="s">
        <v>73</v>
      </c>
      <c r="C43" s="5" t="s">
        <v>73</v>
      </c>
      <c r="D43" s="5" t="str">
        <f>IF(B43=C43,"Y","N")</f>
        <v>Y</v>
      </c>
      <c r="E43" s="19" t="s">
        <v>73</v>
      </c>
      <c r="F43" s="5" t="str">
        <f t="shared" si="0"/>
        <v>Y</v>
      </c>
    </row>
    <row r="44" spans="1:6" x14ac:dyDescent="0.25">
      <c r="A44" s="10"/>
      <c r="B44" s="5" t="s">
        <v>75</v>
      </c>
      <c r="C44" s="5" t="s">
        <v>75</v>
      </c>
      <c r="D44" s="5" t="str">
        <f>IF(B44=C44,"Y","N")</f>
        <v>Y</v>
      </c>
      <c r="E44" s="19" t="s">
        <v>75</v>
      </c>
      <c r="F44" s="5" t="str">
        <f t="shared" si="0"/>
        <v>Y</v>
      </c>
    </row>
    <row r="45" spans="1:6" x14ac:dyDescent="0.25">
      <c r="A45" s="10"/>
      <c r="B45" s="5" t="s">
        <v>77</v>
      </c>
      <c r="C45" s="5" t="s">
        <v>77</v>
      </c>
      <c r="D45" s="5" t="str">
        <f>IF(B45=C45,"Y","N")</f>
        <v>Y</v>
      </c>
      <c r="E45" s="19" t="s">
        <v>77</v>
      </c>
      <c r="F45" s="5" t="str">
        <f t="shared" si="0"/>
        <v>Y</v>
      </c>
    </row>
    <row r="46" spans="1:6" x14ac:dyDescent="0.25">
      <c r="A46" s="10"/>
      <c r="B46" s="5" t="s">
        <v>79</v>
      </c>
      <c r="C46" s="5" t="s">
        <v>79</v>
      </c>
      <c r="D46" s="5" t="str">
        <f>IF(B46=C46,"Y","N")</f>
        <v>Y</v>
      </c>
      <c r="E46" s="19" t="s">
        <v>79</v>
      </c>
      <c r="F46" s="5" t="str">
        <f t="shared" si="0"/>
        <v>Y</v>
      </c>
    </row>
    <row r="47" spans="1:6" x14ac:dyDescent="0.25">
      <c r="A47" s="10"/>
      <c r="B47" s="5" t="s">
        <v>81</v>
      </c>
      <c r="C47" s="5" t="s">
        <v>81</v>
      </c>
      <c r="D47" s="5" t="str">
        <f>IF(B47=C47,"Y","N")</f>
        <v>Y</v>
      </c>
      <c r="E47" s="19" t="s">
        <v>81</v>
      </c>
      <c r="F47" s="5" t="str">
        <f t="shared" si="0"/>
        <v>Y</v>
      </c>
    </row>
    <row r="48" spans="1:6" x14ac:dyDescent="0.25">
      <c r="A48" s="10"/>
      <c r="B48" s="5" t="s">
        <v>83</v>
      </c>
      <c r="C48" s="5" t="s">
        <v>83</v>
      </c>
      <c r="D48" s="5" t="str">
        <f>IF(B48=C48,"Y","N")</f>
        <v>Y</v>
      </c>
      <c r="E48" s="19" t="s">
        <v>83</v>
      </c>
      <c r="F48" s="5" t="str">
        <f t="shared" si="0"/>
        <v>Y</v>
      </c>
    </row>
    <row r="49" spans="1:9" x14ac:dyDescent="0.25">
      <c r="A49" s="10"/>
      <c r="B49" s="5" t="s">
        <v>85</v>
      </c>
      <c r="C49" s="5" t="s">
        <v>85</v>
      </c>
      <c r="D49" s="5" t="str">
        <f>IF(B49=C49,"Y","N")</f>
        <v>Y</v>
      </c>
      <c r="E49" s="19" t="s">
        <v>85</v>
      </c>
      <c r="F49" s="5" t="str">
        <f t="shared" si="0"/>
        <v>Y</v>
      </c>
    </row>
    <row r="50" spans="1:9" x14ac:dyDescent="0.25">
      <c r="A50" s="10"/>
      <c r="B50" s="5" t="s">
        <v>86</v>
      </c>
      <c r="C50" s="5" t="s">
        <v>86</v>
      </c>
      <c r="D50" s="5" t="str">
        <f>IF(B50=C50,"Y","N")</f>
        <v>Y</v>
      </c>
      <c r="E50" s="19" t="s">
        <v>86</v>
      </c>
      <c r="F50" s="5" t="str">
        <f t="shared" si="0"/>
        <v>Y</v>
      </c>
      <c r="I50"/>
    </row>
    <row r="51" spans="1:9" x14ac:dyDescent="0.25">
      <c r="A51" s="10"/>
      <c r="B51" s="5" t="s">
        <v>88</v>
      </c>
      <c r="C51" s="5" t="s">
        <v>88</v>
      </c>
      <c r="D51" s="5" t="str">
        <f>IF(B51=C51,"Y","N")</f>
        <v>Y</v>
      </c>
      <c r="E51" s="19" t="s">
        <v>88</v>
      </c>
      <c r="F51" s="5" t="str">
        <f t="shared" si="0"/>
        <v>Y</v>
      </c>
    </row>
    <row r="52" spans="1:9" x14ac:dyDescent="0.25">
      <c r="A52" s="10"/>
      <c r="B52" s="5" t="s">
        <v>89</v>
      </c>
      <c r="C52" s="5" t="s">
        <v>89</v>
      </c>
      <c r="D52" s="5" t="str">
        <f>IF(B52=C52,"Y","N")</f>
        <v>Y</v>
      </c>
      <c r="E52" s="19" t="s">
        <v>89</v>
      </c>
      <c r="F52" s="5" t="str">
        <f t="shared" si="0"/>
        <v>Y</v>
      </c>
    </row>
    <row r="53" spans="1:9" x14ac:dyDescent="0.25">
      <c r="A53" s="10"/>
      <c r="B53" s="5" t="s">
        <v>90</v>
      </c>
      <c r="C53" s="5" t="s">
        <v>90</v>
      </c>
      <c r="D53" s="5" t="str">
        <f>IF(B53=C53,"Y","N")</f>
        <v>Y</v>
      </c>
      <c r="E53" s="19" t="s">
        <v>90</v>
      </c>
      <c r="F53" s="5" t="str">
        <f t="shared" si="0"/>
        <v>Y</v>
      </c>
    </row>
    <row r="54" spans="1:9" x14ac:dyDescent="0.25">
      <c r="A54" s="10"/>
      <c r="B54" s="5" t="s">
        <v>91</v>
      </c>
      <c r="C54" s="5" t="s">
        <v>91</v>
      </c>
      <c r="D54" s="5" t="str">
        <f>IF(B54=C54,"Y","N")</f>
        <v>Y</v>
      </c>
      <c r="E54" s="19" t="s">
        <v>91</v>
      </c>
      <c r="F54" s="5" t="str">
        <f t="shared" si="0"/>
        <v>Y</v>
      </c>
    </row>
    <row r="55" spans="1:9" x14ac:dyDescent="0.25">
      <c r="A55" s="10"/>
      <c r="B55" s="5" t="s">
        <v>92</v>
      </c>
      <c r="C55" s="5" t="s">
        <v>92</v>
      </c>
      <c r="D55" s="5" t="str">
        <f>IF(B55=C55,"Y","N")</f>
        <v>Y</v>
      </c>
      <c r="E55" s="19" t="s">
        <v>92</v>
      </c>
      <c r="F55" s="5" t="str">
        <f t="shared" si="0"/>
        <v>Y</v>
      </c>
    </row>
    <row r="56" spans="1:9" x14ac:dyDescent="0.25">
      <c r="A56" s="10"/>
      <c r="B56" s="5" t="s">
        <v>93</v>
      </c>
      <c r="C56" s="5" t="s">
        <v>93</v>
      </c>
      <c r="D56" s="5" t="str">
        <f>IF(B56=C56,"Y","N")</f>
        <v>Y</v>
      </c>
      <c r="E56" s="19" t="s">
        <v>93</v>
      </c>
      <c r="F56" s="5" t="str">
        <f t="shared" si="0"/>
        <v>Y</v>
      </c>
      <c r="I56"/>
    </row>
    <row r="57" spans="1:9" x14ac:dyDescent="0.25">
      <c r="A57" s="10"/>
      <c r="B57" s="5" t="s">
        <v>95</v>
      </c>
      <c r="C57" s="5" t="s">
        <v>95</v>
      </c>
      <c r="D57" s="5" t="str">
        <f>IF(B57=C57,"Y","N")</f>
        <v>Y</v>
      </c>
      <c r="E57" s="19" t="s">
        <v>95</v>
      </c>
      <c r="F57" s="5" t="str">
        <f t="shared" si="0"/>
        <v>Y</v>
      </c>
    </row>
    <row r="58" spans="1:9" x14ac:dyDescent="0.25">
      <c r="A58" s="10"/>
      <c r="B58" s="5" t="s">
        <v>96</v>
      </c>
      <c r="C58" s="5" t="s">
        <v>96</v>
      </c>
      <c r="D58" s="5" t="str">
        <f>IF(B58=C58,"Y","N")</f>
        <v>Y</v>
      </c>
      <c r="E58" s="19" t="s">
        <v>96</v>
      </c>
      <c r="F58" s="5" t="str">
        <f t="shared" si="0"/>
        <v>Y</v>
      </c>
    </row>
    <row r="59" spans="1:9" x14ac:dyDescent="0.25">
      <c r="A59" s="10"/>
      <c r="B59" s="5" t="s">
        <v>97</v>
      </c>
      <c r="C59" s="5" t="s">
        <v>97</v>
      </c>
      <c r="D59" s="5" t="str">
        <f>IF(B59=C59,"Y","N")</f>
        <v>Y</v>
      </c>
      <c r="E59" s="19" t="s">
        <v>97</v>
      </c>
      <c r="F59" s="5" t="str">
        <f t="shared" si="0"/>
        <v>Y</v>
      </c>
    </row>
    <row r="60" spans="1:9" x14ac:dyDescent="0.25">
      <c r="A60" s="10"/>
      <c r="B60" s="5" t="s">
        <v>98</v>
      </c>
      <c r="C60" s="5" t="s">
        <v>98</v>
      </c>
      <c r="D60" s="5" t="str">
        <f>IF(B60=C60,"Y","N")</f>
        <v>Y</v>
      </c>
      <c r="E60" s="19" t="s">
        <v>98</v>
      </c>
      <c r="F60" s="5" t="str">
        <f t="shared" si="0"/>
        <v>Y</v>
      </c>
      <c r="I60"/>
    </row>
    <row r="61" spans="1:9" x14ac:dyDescent="0.25">
      <c r="A61" s="10"/>
      <c r="B61" s="5" t="s">
        <v>100</v>
      </c>
      <c r="C61" s="5" t="s">
        <v>100</v>
      </c>
      <c r="D61" s="5" t="str">
        <f>IF(B61=C61,"Y","N")</f>
        <v>Y</v>
      </c>
      <c r="E61" s="19" t="s">
        <v>100</v>
      </c>
      <c r="F61" s="5" t="str">
        <f t="shared" si="0"/>
        <v>Y</v>
      </c>
    </row>
    <row r="62" spans="1:9" x14ac:dyDescent="0.25">
      <c r="A62" s="10"/>
      <c r="B62" s="5" t="s">
        <v>101</v>
      </c>
      <c r="C62" s="5" t="s">
        <v>101</v>
      </c>
      <c r="D62" s="5" t="str">
        <f>IF(B62=C62,"Y","N")</f>
        <v>Y</v>
      </c>
      <c r="E62" s="19" t="s">
        <v>101</v>
      </c>
      <c r="F62" s="5" t="str">
        <f t="shared" si="0"/>
        <v>Y</v>
      </c>
    </row>
    <row r="63" spans="1:9" x14ac:dyDescent="0.25">
      <c r="A63" s="10"/>
      <c r="B63" s="5" t="s">
        <v>102</v>
      </c>
      <c r="C63" s="5" t="s">
        <v>102</v>
      </c>
      <c r="D63" s="5" t="str">
        <f>IF(B63=C63,"Y","N")</f>
        <v>Y</v>
      </c>
      <c r="E63" s="19" t="s">
        <v>102</v>
      </c>
      <c r="F63" s="5" t="str">
        <f t="shared" si="0"/>
        <v>Y</v>
      </c>
    </row>
    <row r="64" spans="1:9" x14ac:dyDescent="0.25">
      <c r="A64" s="10"/>
      <c r="B64" s="5" t="s">
        <v>103</v>
      </c>
      <c r="C64" s="5" t="s">
        <v>103</v>
      </c>
      <c r="D64" s="5" t="str">
        <f>IF(B64=C64,"Y","N")</f>
        <v>Y</v>
      </c>
      <c r="E64" s="19" t="s">
        <v>103</v>
      </c>
      <c r="F64" s="5" t="str">
        <f t="shared" si="0"/>
        <v>Y</v>
      </c>
      <c r="I64"/>
    </row>
    <row r="65" spans="1:9" x14ac:dyDescent="0.25">
      <c r="A65" s="10"/>
      <c r="B65" s="5" t="s">
        <v>105</v>
      </c>
      <c r="C65" s="5" t="s">
        <v>105</v>
      </c>
      <c r="D65" s="5" t="str">
        <f>IF(B65=C65,"Y","N")</f>
        <v>Y</v>
      </c>
      <c r="E65" s="19" t="s">
        <v>105</v>
      </c>
      <c r="F65" s="5" t="str">
        <f t="shared" si="0"/>
        <v>Y</v>
      </c>
    </row>
    <row r="66" spans="1:9" x14ac:dyDescent="0.25">
      <c r="A66" s="10"/>
      <c r="B66" s="5" t="s">
        <v>106</v>
      </c>
      <c r="C66" s="5" t="s">
        <v>106</v>
      </c>
      <c r="D66" s="5" t="str">
        <f>IF(B66=C66,"Y","N")</f>
        <v>Y</v>
      </c>
      <c r="E66" s="19" t="s">
        <v>106</v>
      </c>
      <c r="F66" s="5" t="str">
        <f t="shared" si="0"/>
        <v>Y</v>
      </c>
      <c r="I66"/>
    </row>
    <row r="67" spans="1:9" x14ac:dyDescent="0.25">
      <c r="A67" s="10"/>
      <c r="B67" s="5" t="s">
        <v>110</v>
      </c>
      <c r="C67" s="5" t="s">
        <v>110</v>
      </c>
      <c r="D67" s="5" t="str">
        <f>IF(B67=C67,"Y","N")</f>
        <v>Y</v>
      </c>
      <c r="E67" s="19" t="s">
        <v>110</v>
      </c>
      <c r="F67" s="5" t="str">
        <f t="shared" si="0"/>
        <v>Y</v>
      </c>
      <c r="I67"/>
    </row>
    <row r="68" spans="1:9" x14ac:dyDescent="0.25">
      <c r="A68" s="10"/>
      <c r="B68" s="5" t="s">
        <v>111</v>
      </c>
      <c r="C68" s="5" t="s">
        <v>111</v>
      </c>
      <c r="D68" s="5" t="str">
        <f>IF(B68=C68,"Y","N")</f>
        <v>Y</v>
      </c>
      <c r="E68" s="19" t="s">
        <v>121</v>
      </c>
      <c r="F68" s="5" t="str">
        <f t="shared" ref="F68:F71" si="1">IF(C68=E68,"Y","N")</f>
        <v>N</v>
      </c>
    </row>
    <row r="69" spans="1:9" x14ac:dyDescent="0.25">
      <c r="A69" s="10"/>
      <c r="B69" s="5" t="s">
        <v>112</v>
      </c>
      <c r="C69" s="5" t="s">
        <v>112</v>
      </c>
      <c r="D69" s="5" t="str">
        <f>IF(B69=C69,"Y","N")</f>
        <v>Y</v>
      </c>
      <c r="E69" s="19" t="s">
        <v>122</v>
      </c>
      <c r="F69" s="5" t="str">
        <f t="shared" si="1"/>
        <v>N</v>
      </c>
    </row>
    <row r="70" spans="1:9" x14ac:dyDescent="0.25">
      <c r="A70" s="10"/>
      <c r="B70" s="5" t="s">
        <v>214</v>
      </c>
      <c r="C70" s="5" t="s">
        <v>214</v>
      </c>
      <c r="D70" s="5" t="str">
        <f>IF(B70=C70,"Y","N")</f>
        <v>Y</v>
      </c>
      <c r="E70" s="19" t="s">
        <v>214</v>
      </c>
      <c r="F70" s="5" t="str">
        <f t="shared" si="1"/>
        <v>Y</v>
      </c>
    </row>
    <row r="71" spans="1:9" x14ac:dyDescent="0.25">
      <c r="A71" s="10"/>
      <c r="B71" s="5" t="s">
        <v>215</v>
      </c>
      <c r="C71" s="5" t="s">
        <v>215</v>
      </c>
      <c r="D71" s="5" t="str">
        <f>IF(B71=C71,"Y","N")</f>
        <v>Y</v>
      </c>
      <c r="E71" s="19" t="s">
        <v>215</v>
      </c>
      <c r="F71" s="5" t="str">
        <f t="shared" si="1"/>
        <v>Y</v>
      </c>
    </row>
  </sheetData>
  <autoFilter ref="A2:J71" xr:uid="{00000000-0001-0000-1000-000000000000}"/>
  <conditionalFormatting sqref="E1 D47 D48:E51 D52:D54 D2:E22 D23 D25 D24:E24 I50 D26:E46 D55:E1048576">
    <cfRule type="cellIs" dxfId="26" priority="3" operator="equal">
      <formula>"N"</formula>
    </cfRule>
  </conditionalFormatting>
  <conditionalFormatting sqref="G24">
    <cfRule type="cellIs" dxfId="25" priority="2" operator="equal">
      <formula>"N"</formula>
    </cfRule>
  </conditionalFormatting>
  <conditionalFormatting sqref="F3:F71">
    <cfRule type="cellIs" dxfId="24" priority="1" operator="equal">
      <formula>"N"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216</v>
      </c>
      <c r="C2" s="12" t="s">
        <v>218</v>
      </c>
      <c r="D2" s="5" t="s">
        <v>336</v>
      </c>
      <c r="E2" s="12" t="s">
        <v>217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19" t="s">
        <v>30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19" t="s">
        <v>32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36</v>
      </c>
      <c r="C19" s="5" t="s">
        <v>36</v>
      </c>
      <c r="D19" s="5" t="str">
        <f>IF(B19=C19,"Y","N")</f>
        <v>Y</v>
      </c>
      <c r="E19" s="19" t="s">
        <v>36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38</v>
      </c>
      <c r="C20" s="5" t="s">
        <v>38</v>
      </c>
      <c r="D20" s="5" t="str">
        <f>IF(B20=C20,"Y","N")</f>
        <v>Y</v>
      </c>
      <c r="E20" s="19" t="s">
        <v>38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42</v>
      </c>
      <c r="C21" s="5" t="s">
        <v>42</v>
      </c>
      <c r="D21" s="5" t="str">
        <f>IF(B21=C21,"Y","N")</f>
        <v>Y</v>
      </c>
      <c r="E21" s="19" t="s">
        <v>42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44</v>
      </c>
      <c r="C22" s="5" t="s">
        <v>44</v>
      </c>
      <c r="D22" s="5" t="str">
        <f>IF(B22=C22,"Y","N")</f>
        <v>Y</v>
      </c>
      <c r="E22" s="19" t="s">
        <v>44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45</v>
      </c>
      <c r="C23" s="5" t="s">
        <v>45</v>
      </c>
      <c r="D23" s="5" t="str">
        <f>IF(B23=C23,"Y","N")</f>
        <v>Y</v>
      </c>
      <c r="E23" s="6"/>
      <c r="F23" s="5" t="str">
        <f t="shared" si="0"/>
        <v>N</v>
      </c>
      <c r="G23" s="14" t="s">
        <v>341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46</v>
      </c>
      <c r="C24" s="5" t="s">
        <v>46</v>
      </c>
      <c r="D24" s="5" t="str">
        <f>IF(B24=C24,"Y","N")</f>
        <v>Y</v>
      </c>
      <c r="E24" s="19" t="s">
        <v>46</v>
      </c>
      <c r="F24" s="5" t="str">
        <f t="shared" si="0"/>
        <v>Y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47</v>
      </c>
      <c r="C25" s="5" t="s">
        <v>47</v>
      </c>
      <c r="D25" s="5" t="str">
        <f>IF(B25=C25,"Y","N")</f>
        <v>Y</v>
      </c>
      <c r="E25" s="19" t="s">
        <v>56</v>
      </c>
      <c r="F25" s="5" t="str">
        <f t="shared" si="0"/>
        <v>N</v>
      </c>
    </row>
    <row r="26" spans="1:10" x14ac:dyDescent="0.25">
      <c r="A26" s="10"/>
      <c r="B26" s="5" t="s">
        <v>48</v>
      </c>
      <c r="C26" s="5" t="s">
        <v>48</v>
      </c>
      <c r="D26" s="5" t="str">
        <f>IF(B26=C26,"Y","N")</f>
        <v>Y</v>
      </c>
      <c r="E26" s="19" t="s">
        <v>58</v>
      </c>
      <c r="F26" s="5" t="str">
        <f t="shared" si="0"/>
        <v>N</v>
      </c>
    </row>
    <row r="27" spans="1:10" x14ac:dyDescent="0.25">
      <c r="A27" s="10"/>
      <c r="B27" s="5" t="s">
        <v>49</v>
      </c>
      <c r="C27" s="5" t="s">
        <v>49</v>
      </c>
      <c r="D27" s="5" t="str">
        <f>IF(B27=C27,"Y","N")</f>
        <v>Y</v>
      </c>
      <c r="E27" s="19" t="s">
        <v>60</v>
      </c>
      <c r="F27" s="5" t="str">
        <f t="shared" si="0"/>
        <v>N</v>
      </c>
    </row>
    <row r="28" spans="1:10" x14ac:dyDescent="0.25">
      <c r="A28" s="10"/>
      <c r="B28" s="5" t="s">
        <v>50</v>
      </c>
      <c r="C28" s="5" t="s">
        <v>50</v>
      </c>
      <c r="D28" s="5" t="str">
        <f>IF(B28=C28,"Y","N")</f>
        <v>Y</v>
      </c>
      <c r="E28" s="19" t="s">
        <v>62</v>
      </c>
      <c r="F28" s="5" t="str">
        <f t="shared" si="0"/>
        <v>N</v>
      </c>
    </row>
    <row r="29" spans="1:10" x14ac:dyDescent="0.25">
      <c r="A29" s="10"/>
      <c r="B29" s="5" t="s">
        <v>51</v>
      </c>
      <c r="C29" s="5" t="s">
        <v>51</v>
      </c>
      <c r="D29" s="5" t="str">
        <f>IF(B29=C29,"Y","N")</f>
        <v>Y</v>
      </c>
      <c r="E29" s="19" t="s">
        <v>64</v>
      </c>
      <c r="F29" s="5" t="str">
        <f t="shared" si="0"/>
        <v>N</v>
      </c>
      <c r="I29"/>
    </row>
    <row r="30" spans="1:10" x14ac:dyDescent="0.25">
      <c r="A30" s="10"/>
      <c r="B30" s="5" t="s">
        <v>53</v>
      </c>
      <c r="C30" s="5" t="s">
        <v>53</v>
      </c>
      <c r="D30" s="5" t="str">
        <f>IF(B30=C30,"Y","N")</f>
        <v>Y</v>
      </c>
      <c r="E30" s="19" t="s">
        <v>66</v>
      </c>
      <c r="F30" s="5" t="str">
        <f t="shared" si="0"/>
        <v>N</v>
      </c>
    </row>
    <row r="31" spans="1:10" x14ac:dyDescent="0.25">
      <c r="A31" s="10"/>
      <c r="B31" s="5" t="s">
        <v>54</v>
      </c>
      <c r="C31" s="5" t="s">
        <v>54</v>
      </c>
      <c r="D31" s="5" t="str">
        <f>IF(B31=C31,"Y","N")</f>
        <v>Y</v>
      </c>
      <c r="E31" s="19" t="s">
        <v>68</v>
      </c>
      <c r="F31" s="5" t="str">
        <f t="shared" si="0"/>
        <v>N</v>
      </c>
    </row>
    <row r="32" spans="1:10" x14ac:dyDescent="0.25">
      <c r="A32" s="10"/>
      <c r="B32" s="5" t="s">
        <v>55</v>
      </c>
      <c r="C32" s="5" t="s">
        <v>55</v>
      </c>
      <c r="D32" s="5" t="str">
        <f>IF(B32=C32,"Y","N")</f>
        <v>Y</v>
      </c>
      <c r="E32" s="19" t="s">
        <v>70</v>
      </c>
      <c r="F32" s="5" t="str">
        <f t="shared" si="0"/>
        <v>N</v>
      </c>
    </row>
    <row r="33" spans="1:9" x14ac:dyDescent="0.25">
      <c r="A33" s="10"/>
      <c r="B33" s="5" t="s">
        <v>57</v>
      </c>
      <c r="C33" s="5" t="s">
        <v>57</v>
      </c>
      <c r="D33" s="5" t="str">
        <f>IF(B33=C33,"Y","N")</f>
        <v>Y</v>
      </c>
      <c r="E33" s="19" t="s">
        <v>72</v>
      </c>
      <c r="F33" s="5" t="str">
        <f t="shared" si="0"/>
        <v>N</v>
      </c>
    </row>
    <row r="34" spans="1:9" x14ac:dyDescent="0.25">
      <c r="A34" s="10"/>
      <c r="B34" s="5" t="s">
        <v>59</v>
      </c>
      <c r="C34" s="5" t="s">
        <v>59</v>
      </c>
      <c r="D34" s="5" t="str">
        <f>IF(B34=C34,"Y","N")</f>
        <v>Y</v>
      </c>
      <c r="E34" s="19" t="s">
        <v>74</v>
      </c>
      <c r="F34" s="5" t="str">
        <f t="shared" si="0"/>
        <v>N</v>
      </c>
    </row>
    <row r="35" spans="1:9" x14ac:dyDescent="0.25">
      <c r="A35" s="10"/>
      <c r="B35" s="5" t="s">
        <v>61</v>
      </c>
      <c r="C35" s="5" t="s">
        <v>61</v>
      </c>
      <c r="D35" s="5" t="str">
        <f>IF(B35=C35,"Y","N")</f>
        <v>Y</v>
      </c>
      <c r="E35" s="19" t="s">
        <v>76</v>
      </c>
      <c r="F35" s="5" t="str">
        <f t="shared" si="0"/>
        <v>N</v>
      </c>
    </row>
    <row r="36" spans="1:9" x14ac:dyDescent="0.25">
      <c r="A36" s="10"/>
      <c r="B36" s="5" t="s">
        <v>63</v>
      </c>
      <c r="C36" s="5" t="s">
        <v>63</v>
      </c>
      <c r="D36" s="5" t="str">
        <f>IF(B36=C36,"Y","N")</f>
        <v>Y</v>
      </c>
      <c r="E36" s="19" t="s">
        <v>78</v>
      </c>
      <c r="F36" s="5" t="str">
        <f t="shared" si="0"/>
        <v>N</v>
      </c>
    </row>
    <row r="37" spans="1:9" x14ac:dyDescent="0.25">
      <c r="A37" s="10"/>
      <c r="B37" s="5" t="s">
        <v>65</v>
      </c>
      <c r="C37" s="5" t="s">
        <v>65</v>
      </c>
      <c r="D37" s="5" t="str">
        <f>IF(B37=C37,"Y","N")</f>
        <v>Y</v>
      </c>
      <c r="E37" s="19" t="s">
        <v>80</v>
      </c>
      <c r="F37" s="5" t="str">
        <f t="shared" si="0"/>
        <v>N</v>
      </c>
    </row>
    <row r="38" spans="1:9" x14ac:dyDescent="0.25">
      <c r="A38" s="10"/>
      <c r="B38" s="5" t="s">
        <v>67</v>
      </c>
      <c r="C38" s="5" t="s">
        <v>67</v>
      </c>
      <c r="D38" s="5" t="str">
        <f>IF(B38=C38,"Y","N")</f>
        <v>Y</v>
      </c>
      <c r="E38" s="19" t="s">
        <v>82</v>
      </c>
      <c r="F38" s="5" t="str">
        <f t="shared" si="0"/>
        <v>N</v>
      </c>
    </row>
    <row r="39" spans="1:9" x14ac:dyDescent="0.25">
      <c r="A39" s="10"/>
      <c r="B39" s="5" t="s">
        <v>69</v>
      </c>
      <c r="C39" s="5" t="s">
        <v>69</v>
      </c>
      <c r="D39" s="5" t="str">
        <f>IF(B39=C39,"Y","N")</f>
        <v>Y</v>
      </c>
      <c r="E39" s="19" t="s">
        <v>84</v>
      </c>
      <c r="F39" s="5" t="str">
        <f t="shared" si="0"/>
        <v>N</v>
      </c>
    </row>
    <row r="40" spans="1:9" x14ac:dyDescent="0.25">
      <c r="A40" s="10"/>
      <c r="B40" s="5" t="s">
        <v>71</v>
      </c>
      <c r="C40" s="5" t="s">
        <v>71</v>
      </c>
      <c r="D40" s="5" t="str">
        <f>IF(B40=C40,"Y","N")</f>
        <v>Y</v>
      </c>
      <c r="E40" s="19" t="s">
        <v>71</v>
      </c>
      <c r="F40" s="5" t="str">
        <f t="shared" si="0"/>
        <v>Y</v>
      </c>
    </row>
    <row r="41" spans="1:9" x14ac:dyDescent="0.25">
      <c r="A41" s="10"/>
      <c r="B41" s="5" t="s">
        <v>73</v>
      </c>
      <c r="C41" s="5" t="s">
        <v>73</v>
      </c>
      <c r="D41" s="5" t="str">
        <f>IF(B41=C41,"Y","N")</f>
        <v>Y</v>
      </c>
      <c r="E41" s="19" t="s">
        <v>73</v>
      </c>
      <c r="F41" s="5" t="str">
        <f t="shared" si="0"/>
        <v>Y</v>
      </c>
    </row>
    <row r="42" spans="1:9" x14ac:dyDescent="0.25">
      <c r="A42" s="10"/>
      <c r="B42" s="5" t="s">
        <v>75</v>
      </c>
      <c r="C42" s="5" t="s">
        <v>75</v>
      </c>
      <c r="D42" s="5" t="str">
        <f>IF(B42=C42,"Y","N")</f>
        <v>Y</v>
      </c>
      <c r="E42" s="19" t="s">
        <v>75</v>
      </c>
      <c r="F42" s="5" t="str">
        <f t="shared" si="0"/>
        <v>Y</v>
      </c>
    </row>
    <row r="43" spans="1:9" x14ac:dyDescent="0.25">
      <c r="A43" s="10"/>
      <c r="B43" s="5" t="s">
        <v>77</v>
      </c>
      <c r="C43" s="5" t="s">
        <v>77</v>
      </c>
      <c r="D43" s="5" t="str">
        <f>IF(B43=C43,"Y","N")</f>
        <v>Y</v>
      </c>
      <c r="E43" s="19" t="s">
        <v>77</v>
      </c>
      <c r="F43" s="5" t="str">
        <f t="shared" si="0"/>
        <v>Y</v>
      </c>
    </row>
    <row r="44" spans="1:9" x14ac:dyDescent="0.25">
      <c r="A44" s="10"/>
      <c r="B44" s="5" t="s">
        <v>79</v>
      </c>
      <c r="C44" s="5" t="s">
        <v>79</v>
      </c>
      <c r="D44" s="5" t="str">
        <f>IF(B44=C44,"Y","N")</f>
        <v>Y</v>
      </c>
      <c r="E44" s="19" t="s">
        <v>79</v>
      </c>
      <c r="F44" s="5" t="str">
        <f t="shared" si="0"/>
        <v>Y</v>
      </c>
    </row>
    <row r="45" spans="1:9" x14ac:dyDescent="0.25">
      <c r="A45" s="10"/>
      <c r="B45" s="5" t="s">
        <v>81</v>
      </c>
      <c r="C45" s="5" t="s">
        <v>81</v>
      </c>
      <c r="D45" s="5" t="str">
        <f>IF(B45=C45,"Y","N")</f>
        <v>Y</v>
      </c>
      <c r="E45" s="19" t="s">
        <v>81</v>
      </c>
      <c r="F45" s="5" t="str">
        <f t="shared" si="0"/>
        <v>Y</v>
      </c>
    </row>
    <row r="46" spans="1:9" x14ac:dyDescent="0.25">
      <c r="A46" s="10"/>
      <c r="B46" s="5" t="s">
        <v>83</v>
      </c>
      <c r="C46" s="5" t="s">
        <v>83</v>
      </c>
      <c r="D46" s="5" t="str">
        <f>IF(B46=C46,"Y","N")</f>
        <v>Y</v>
      </c>
      <c r="E46" s="19" t="s">
        <v>83</v>
      </c>
      <c r="F46" s="5" t="str">
        <f t="shared" si="0"/>
        <v>Y</v>
      </c>
    </row>
    <row r="47" spans="1:9" x14ac:dyDescent="0.25">
      <c r="A47" s="10"/>
      <c r="B47" s="5" t="s">
        <v>85</v>
      </c>
      <c r="C47" s="5" t="s">
        <v>85</v>
      </c>
      <c r="D47" s="5" t="str">
        <f>IF(B47=C47,"Y","N")</f>
        <v>Y</v>
      </c>
      <c r="E47" s="19" t="s">
        <v>85</v>
      </c>
      <c r="F47" s="5" t="str">
        <f t="shared" si="0"/>
        <v>Y</v>
      </c>
    </row>
    <row r="48" spans="1:9" x14ac:dyDescent="0.25">
      <c r="A48" s="10"/>
      <c r="B48" s="5" t="s">
        <v>86</v>
      </c>
      <c r="C48" s="5" t="s">
        <v>86</v>
      </c>
      <c r="D48" s="5" t="str">
        <f>IF(B48=C48,"Y","N")</f>
        <v>Y</v>
      </c>
      <c r="E48" s="19" t="s">
        <v>86</v>
      </c>
      <c r="F48" s="5" t="str">
        <f t="shared" si="0"/>
        <v>Y</v>
      </c>
      <c r="I48"/>
    </row>
    <row r="49" spans="1:9" x14ac:dyDescent="0.25">
      <c r="A49" s="10"/>
      <c r="B49" s="5" t="s">
        <v>88</v>
      </c>
      <c r="C49" s="5" t="s">
        <v>88</v>
      </c>
      <c r="D49" s="5" t="str">
        <f>IF(B49=C49,"Y","N")</f>
        <v>Y</v>
      </c>
      <c r="E49" s="19" t="s">
        <v>88</v>
      </c>
      <c r="F49" s="5" t="str">
        <f t="shared" si="0"/>
        <v>Y</v>
      </c>
    </row>
    <row r="50" spans="1:9" x14ac:dyDescent="0.25">
      <c r="A50" s="10"/>
      <c r="B50" s="5" t="s">
        <v>89</v>
      </c>
      <c r="C50" s="5" t="s">
        <v>89</v>
      </c>
      <c r="D50" s="5" t="str">
        <f>IF(B50=C50,"Y","N")</f>
        <v>Y</v>
      </c>
      <c r="E50" s="19" t="s">
        <v>89</v>
      </c>
      <c r="F50" s="5" t="str">
        <f t="shared" si="0"/>
        <v>Y</v>
      </c>
    </row>
    <row r="51" spans="1:9" x14ac:dyDescent="0.25">
      <c r="A51" s="10"/>
      <c r="B51" s="5" t="s">
        <v>90</v>
      </c>
      <c r="C51" s="5" t="s">
        <v>90</v>
      </c>
      <c r="D51" s="5" t="str">
        <f>IF(B51=C51,"Y","N")</f>
        <v>Y</v>
      </c>
      <c r="E51" s="19" t="s">
        <v>90</v>
      </c>
      <c r="F51" s="5" t="str">
        <f t="shared" si="0"/>
        <v>Y</v>
      </c>
    </row>
    <row r="52" spans="1:9" x14ac:dyDescent="0.25">
      <c r="A52" s="10"/>
      <c r="B52" s="5" t="s">
        <v>91</v>
      </c>
      <c r="C52" s="5" t="s">
        <v>91</v>
      </c>
      <c r="D52" s="5" t="str">
        <f>IF(B52=C52,"Y","N")</f>
        <v>Y</v>
      </c>
      <c r="E52" s="19" t="s">
        <v>91</v>
      </c>
      <c r="F52" s="5" t="str">
        <f t="shared" si="0"/>
        <v>Y</v>
      </c>
    </row>
    <row r="53" spans="1:9" x14ac:dyDescent="0.25">
      <c r="A53" s="10"/>
      <c r="B53" s="5" t="s">
        <v>92</v>
      </c>
      <c r="C53" s="5" t="s">
        <v>92</v>
      </c>
      <c r="D53" s="5" t="str">
        <f>IF(B53=C53,"Y","N")</f>
        <v>Y</v>
      </c>
      <c r="E53" s="19" t="s">
        <v>92</v>
      </c>
      <c r="F53" s="5" t="str">
        <f t="shared" si="0"/>
        <v>Y</v>
      </c>
    </row>
    <row r="54" spans="1:9" x14ac:dyDescent="0.25">
      <c r="A54" s="10"/>
      <c r="B54" s="5" t="s">
        <v>93</v>
      </c>
      <c r="C54" s="5" t="s">
        <v>93</v>
      </c>
      <c r="D54" s="5" t="str">
        <f>IF(B54=C54,"Y","N")</f>
        <v>Y</v>
      </c>
      <c r="E54" s="19" t="s">
        <v>93</v>
      </c>
      <c r="F54" s="5" t="str">
        <f t="shared" si="0"/>
        <v>Y</v>
      </c>
      <c r="I54"/>
    </row>
    <row r="55" spans="1:9" x14ac:dyDescent="0.25">
      <c r="A55" s="10"/>
      <c r="B55" s="5" t="s">
        <v>95</v>
      </c>
      <c r="C55" s="5" t="s">
        <v>95</v>
      </c>
      <c r="D55" s="5" t="str">
        <f>IF(B55=C55,"Y","N")</f>
        <v>Y</v>
      </c>
      <c r="E55" s="19" t="s">
        <v>95</v>
      </c>
      <c r="F55" s="5" t="str">
        <f t="shared" si="0"/>
        <v>Y</v>
      </c>
    </row>
    <row r="56" spans="1:9" x14ac:dyDescent="0.25">
      <c r="A56" s="10"/>
      <c r="B56" s="5" t="s">
        <v>96</v>
      </c>
      <c r="C56" s="5" t="s">
        <v>96</v>
      </c>
      <c r="D56" s="5" t="str">
        <f>IF(B56=C56,"Y","N")</f>
        <v>Y</v>
      </c>
      <c r="E56" s="19" t="s">
        <v>96</v>
      </c>
      <c r="F56" s="5" t="str">
        <f t="shared" si="0"/>
        <v>Y</v>
      </c>
    </row>
    <row r="57" spans="1:9" x14ac:dyDescent="0.25">
      <c r="A57" s="10"/>
      <c r="B57" s="5" t="s">
        <v>97</v>
      </c>
      <c r="C57" s="5" t="s">
        <v>97</v>
      </c>
      <c r="D57" s="5" t="str">
        <f>IF(B57=C57,"Y","N")</f>
        <v>Y</v>
      </c>
      <c r="E57" s="19" t="s">
        <v>97</v>
      </c>
      <c r="F57" s="5" t="str">
        <f t="shared" si="0"/>
        <v>Y</v>
      </c>
    </row>
    <row r="58" spans="1:9" x14ac:dyDescent="0.25">
      <c r="A58" s="10"/>
      <c r="B58" s="5" t="s">
        <v>98</v>
      </c>
      <c r="C58" s="5" t="s">
        <v>98</v>
      </c>
      <c r="D58" s="5" t="str">
        <f>IF(B58=C58,"Y","N")</f>
        <v>Y</v>
      </c>
      <c r="E58" s="19" t="s">
        <v>98</v>
      </c>
      <c r="F58" s="5" t="str">
        <f t="shared" si="0"/>
        <v>Y</v>
      </c>
      <c r="I58"/>
    </row>
    <row r="59" spans="1:9" x14ac:dyDescent="0.25">
      <c r="A59" s="10"/>
      <c r="B59" s="5" t="s">
        <v>100</v>
      </c>
      <c r="C59" s="5" t="s">
        <v>100</v>
      </c>
      <c r="D59" s="5" t="str">
        <f>IF(B59=C59,"Y","N")</f>
        <v>Y</v>
      </c>
      <c r="E59" s="19" t="s">
        <v>100</v>
      </c>
      <c r="F59" s="5" t="str">
        <f t="shared" si="0"/>
        <v>Y</v>
      </c>
    </row>
    <row r="60" spans="1:9" x14ac:dyDescent="0.25">
      <c r="A60" s="10"/>
      <c r="B60" s="5" t="s">
        <v>101</v>
      </c>
      <c r="C60" s="5" t="s">
        <v>101</v>
      </c>
      <c r="D60" s="5" t="str">
        <f>IF(B60=C60,"Y","N")</f>
        <v>Y</v>
      </c>
      <c r="E60" s="19" t="s">
        <v>101</v>
      </c>
      <c r="F60" s="5" t="str">
        <f t="shared" si="0"/>
        <v>Y</v>
      </c>
    </row>
    <row r="61" spans="1:9" x14ac:dyDescent="0.25">
      <c r="A61" s="10"/>
      <c r="B61" s="5" t="s">
        <v>102</v>
      </c>
      <c r="C61" s="5" t="s">
        <v>102</v>
      </c>
      <c r="D61" s="5" t="str">
        <f>IF(B61=C61,"Y","N")</f>
        <v>Y</v>
      </c>
      <c r="E61" s="19" t="s">
        <v>102</v>
      </c>
      <c r="F61" s="5" t="str">
        <f t="shared" si="0"/>
        <v>Y</v>
      </c>
    </row>
    <row r="62" spans="1:9" x14ac:dyDescent="0.25">
      <c r="A62" s="10"/>
      <c r="B62" s="5" t="s">
        <v>103</v>
      </c>
      <c r="C62" s="5" t="s">
        <v>103</v>
      </c>
      <c r="D62" s="5" t="str">
        <f>IF(B62=C62,"Y","N")</f>
        <v>Y</v>
      </c>
      <c r="E62" s="19" t="s">
        <v>103</v>
      </c>
      <c r="F62" s="5" t="str">
        <f t="shared" si="0"/>
        <v>Y</v>
      </c>
      <c r="I62"/>
    </row>
    <row r="63" spans="1:9" x14ac:dyDescent="0.25">
      <c r="A63" s="10"/>
      <c r="B63" s="5" t="s">
        <v>105</v>
      </c>
      <c r="C63" s="5" t="s">
        <v>105</v>
      </c>
      <c r="D63" s="5" t="str">
        <f>IF(B63=C63,"Y","N")</f>
        <v>Y</v>
      </c>
      <c r="E63" s="19" t="s">
        <v>105</v>
      </c>
      <c r="F63" s="5" t="str">
        <f t="shared" si="0"/>
        <v>Y</v>
      </c>
    </row>
    <row r="64" spans="1:9" x14ac:dyDescent="0.25">
      <c r="A64" s="10"/>
      <c r="B64" s="5" t="s">
        <v>106</v>
      </c>
      <c r="C64" s="5" t="s">
        <v>106</v>
      </c>
      <c r="D64" s="5" t="str">
        <f>IF(B64=C64,"Y","N")</f>
        <v>Y</v>
      </c>
      <c r="E64" s="19" t="s">
        <v>106</v>
      </c>
      <c r="F64" s="5" t="str">
        <f t="shared" si="0"/>
        <v>Y</v>
      </c>
      <c r="I64"/>
    </row>
    <row r="65" spans="1:9" x14ac:dyDescent="0.25">
      <c r="A65" s="10"/>
      <c r="B65" s="5" t="s">
        <v>110</v>
      </c>
      <c r="C65" s="5" t="s">
        <v>110</v>
      </c>
      <c r="D65" s="5" t="str">
        <f>IF(B65=C65,"Y","N")</f>
        <v>Y</v>
      </c>
      <c r="E65" s="19" t="s">
        <v>110</v>
      </c>
      <c r="F65" s="5" t="str">
        <f t="shared" si="0"/>
        <v>Y</v>
      </c>
      <c r="I65"/>
    </row>
    <row r="66" spans="1:9" x14ac:dyDescent="0.25">
      <c r="A66" s="10"/>
      <c r="B66" s="5" t="s">
        <v>111</v>
      </c>
      <c r="C66" s="5" t="s">
        <v>111</v>
      </c>
      <c r="D66" s="5" t="str">
        <f>IF(B66=C66,"Y","N")</f>
        <v>Y</v>
      </c>
      <c r="E66" s="19" t="s">
        <v>121</v>
      </c>
      <c r="F66" s="5" t="str">
        <f t="shared" si="0"/>
        <v>N</v>
      </c>
    </row>
    <row r="67" spans="1:9" x14ac:dyDescent="0.25">
      <c r="A67" s="10"/>
      <c r="B67" s="5" t="s">
        <v>112</v>
      </c>
      <c r="C67" s="5" t="s">
        <v>112</v>
      </c>
      <c r="D67" s="5" t="str">
        <f>IF(B67=C67,"Y","N")</f>
        <v>Y</v>
      </c>
      <c r="E67" s="19" t="s">
        <v>122</v>
      </c>
      <c r="F67" s="5" t="str">
        <f t="shared" si="0"/>
        <v>N</v>
      </c>
    </row>
  </sheetData>
  <autoFilter ref="A2:J67" xr:uid="{00000000-0001-0000-1100-000000000000}"/>
  <conditionalFormatting sqref="E1 D47 D48:E51 D2:E46 D52:D54 E52 D55:E1048576">
    <cfRule type="cellIs" dxfId="23" priority="3" operator="equal">
      <formula>"N"</formula>
    </cfRule>
  </conditionalFormatting>
  <conditionalFormatting sqref="G23">
    <cfRule type="cellIs" dxfId="22" priority="2" operator="equal">
      <formula>"N"</formula>
    </cfRule>
  </conditionalFormatting>
  <conditionalFormatting sqref="F3:F67">
    <cfRule type="cellIs" dxfId="21" priority="1" operator="equal">
      <formula>"N"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219</v>
      </c>
      <c r="C2" s="12" t="s">
        <v>221</v>
      </c>
      <c r="D2" s="5" t="s">
        <v>336</v>
      </c>
      <c r="E2" s="12" t="s">
        <v>220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19" t="s">
        <v>30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19" t="s">
        <v>32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222</v>
      </c>
      <c r="C19" s="5" t="s">
        <v>222</v>
      </c>
      <c r="D19" s="5" t="str">
        <f>IF(B19=C19,"Y","N")</f>
        <v>Y</v>
      </c>
      <c r="E19" s="19" t="s">
        <v>222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36</v>
      </c>
      <c r="C20" s="5" t="s">
        <v>36</v>
      </c>
      <c r="D20" s="5" t="str">
        <f>IF(B20=C20,"Y","N")</f>
        <v>Y</v>
      </c>
      <c r="E20" s="19" t="s">
        <v>36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38</v>
      </c>
      <c r="C21" s="5" t="s">
        <v>38</v>
      </c>
      <c r="D21" s="5" t="str">
        <f>IF(B21=C21,"Y","N")</f>
        <v>Y</v>
      </c>
      <c r="E21" s="19" t="s">
        <v>38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42</v>
      </c>
      <c r="C22" s="5" t="s">
        <v>42</v>
      </c>
      <c r="D22" s="5" t="str">
        <f>IF(B22=C22,"Y","N")</f>
        <v>Y</v>
      </c>
      <c r="E22" s="19" t="s">
        <v>42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44</v>
      </c>
      <c r="C23" s="5" t="s">
        <v>44</v>
      </c>
      <c r="D23" s="5" t="str">
        <f>IF(B23=C23,"Y","N")</f>
        <v>Y</v>
      </c>
      <c r="E23" s="19" t="s">
        <v>44</v>
      </c>
      <c r="F23" s="5" t="str">
        <f t="shared" si="0"/>
        <v>Y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45</v>
      </c>
      <c r="C24" s="5" t="s">
        <v>45</v>
      </c>
      <c r="D24" s="5" t="str">
        <f>IF(B24=C24,"Y","N")</f>
        <v>Y</v>
      </c>
      <c r="E24" s="6"/>
      <c r="F24" s="5" t="str">
        <f t="shared" si="0"/>
        <v>N</v>
      </c>
      <c r="G24" s="14" t="s">
        <v>341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46</v>
      </c>
      <c r="C25" s="5" t="s">
        <v>46</v>
      </c>
      <c r="D25" s="5" t="str">
        <f>IF(B25=C25,"Y","N")</f>
        <v>Y</v>
      </c>
      <c r="E25" s="19" t="s">
        <v>46</v>
      </c>
      <c r="F25" s="5" t="str">
        <f t="shared" si="0"/>
        <v>Y</v>
      </c>
    </row>
    <row r="26" spans="1:10" x14ac:dyDescent="0.25">
      <c r="A26" s="10"/>
      <c r="B26" s="5" t="s">
        <v>47</v>
      </c>
      <c r="C26" s="5" t="s">
        <v>47</v>
      </c>
      <c r="D26" s="5" t="str">
        <f>IF(B26=C26,"Y","N")</f>
        <v>Y</v>
      </c>
      <c r="E26" s="19" t="s">
        <v>56</v>
      </c>
      <c r="F26" s="5" t="str">
        <f t="shared" si="0"/>
        <v>N</v>
      </c>
    </row>
    <row r="27" spans="1:10" x14ac:dyDescent="0.25">
      <c r="A27" s="10"/>
      <c r="B27" s="5" t="s">
        <v>48</v>
      </c>
      <c r="C27" s="5" t="s">
        <v>48</v>
      </c>
      <c r="D27" s="5" t="str">
        <f>IF(B27=C27,"Y","N")</f>
        <v>Y</v>
      </c>
      <c r="E27" s="19" t="s">
        <v>58</v>
      </c>
      <c r="F27" s="5" t="str">
        <f t="shared" si="0"/>
        <v>N</v>
      </c>
    </row>
    <row r="28" spans="1:10" x14ac:dyDescent="0.25">
      <c r="A28" s="10"/>
      <c r="B28" s="5" t="s">
        <v>49</v>
      </c>
      <c r="C28" s="5" t="s">
        <v>49</v>
      </c>
      <c r="D28" s="5" t="str">
        <f>IF(B28=C28,"Y","N")</f>
        <v>Y</v>
      </c>
      <c r="E28" s="19" t="s">
        <v>60</v>
      </c>
      <c r="F28" s="5" t="str">
        <f t="shared" si="0"/>
        <v>N</v>
      </c>
    </row>
    <row r="29" spans="1:10" x14ac:dyDescent="0.25">
      <c r="A29" s="10"/>
      <c r="B29" s="5" t="s">
        <v>50</v>
      </c>
      <c r="C29" s="5" t="s">
        <v>50</v>
      </c>
      <c r="D29" s="5" t="str">
        <f>IF(B29=C29,"Y","N")</f>
        <v>Y</v>
      </c>
      <c r="E29" s="19" t="s">
        <v>62</v>
      </c>
      <c r="F29" s="5" t="str">
        <f t="shared" si="0"/>
        <v>N</v>
      </c>
    </row>
    <row r="30" spans="1:10" x14ac:dyDescent="0.25">
      <c r="A30" s="10"/>
      <c r="B30" s="5" t="s">
        <v>51</v>
      </c>
      <c r="C30" s="5" t="s">
        <v>51</v>
      </c>
      <c r="D30" s="5" t="str">
        <f>IF(B30=C30,"Y","N")</f>
        <v>Y</v>
      </c>
      <c r="E30" s="19" t="s">
        <v>64</v>
      </c>
      <c r="F30" s="5" t="str">
        <f t="shared" si="0"/>
        <v>N</v>
      </c>
      <c r="I30"/>
    </row>
    <row r="31" spans="1:10" x14ac:dyDescent="0.25">
      <c r="A31" s="10"/>
      <c r="B31" s="5" t="s">
        <v>53</v>
      </c>
      <c r="C31" s="5" t="s">
        <v>53</v>
      </c>
      <c r="D31" s="5" t="str">
        <f>IF(B31=C31,"Y","N")</f>
        <v>Y</v>
      </c>
      <c r="E31" s="19" t="s">
        <v>66</v>
      </c>
      <c r="F31" s="5" t="str">
        <f t="shared" si="0"/>
        <v>N</v>
      </c>
    </row>
    <row r="32" spans="1:10" x14ac:dyDescent="0.25">
      <c r="A32" s="10"/>
      <c r="B32" s="5" t="s">
        <v>54</v>
      </c>
      <c r="C32" s="5" t="s">
        <v>54</v>
      </c>
      <c r="D32" s="5" t="str">
        <f>IF(B32=C32,"Y","N")</f>
        <v>Y</v>
      </c>
      <c r="E32" s="19" t="s">
        <v>68</v>
      </c>
      <c r="F32" s="5" t="str">
        <f t="shared" si="0"/>
        <v>N</v>
      </c>
    </row>
    <row r="33" spans="1:6" x14ac:dyDescent="0.25">
      <c r="A33" s="10"/>
      <c r="B33" s="5" t="s">
        <v>55</v>
      </c>
      <c r="C33" s="5" t="s">
        <v>55</v>
      </c>
      <c r="D33" s="5" t="str">
        <f>IF(B33=C33,"Y","N")</f>
        <v>Y</v>
      </c>
      <c r="E33" s="19" t="s">
        <v>70</v>
      </c>
      <c r="F33" s="5" t="str">
        <f t="shared" si="0"/>
        <v>N</v>
      </c>
    </row>
    <row r="34" spans="1:6" x14ac:dyDescent="0.25">
      <c r="A34" s="10"/>
      <c r="B34" s="5" t="s">
        <v>57</v>
      </c>
      <c r="C34" s="5" t="s">
        <v>57</v>
      </c>
      <c r="D34" s="5" t="str">
        <f>IF(B34=C34,"Y","N")</f>
        <v>Y</v>
      </c>
      <c r="E34" s="19" t="s">
        <v>72</v>
      </c>
      <c r="F34" s="5" t="str">
        <f t="shared" si="0"/>
        <v>N</v>
      </c>
    </row>
    <row r="35" spans="1:6" x14ac:dyDescent="0.25">
      <c r="A35" s="10"/>
      <c r="B35" s="5" t="s">
        <v>59</v>
      </c>
      <c r="C35" s="5" t="s">
        <v>59</v>
      </c>
      <c r="D35" s="5" t="str">
        <f>IF(B35=C35,"Y","N")</f>
        <v>Y</v>
      </c>
      <c r="E35" s="19" t="s">
        <v>74</v>
      </c>
      <c r="F35" s="5" t="str">
        <f t="shared" si="0"/>
        <v>N</v>
      </c>
    </row>
    <row r="36" spans="1:6" x14ac:dyDescent="0.25">
      <c r="A36" s="10"/>
      <c r="B36" s="5" t="s">
        <v>61</v>
      </c>
      <c r="C36" s="5" t="s">
        <v>61</v>
      </c>
      <c r="D36" s="5" t="str">
        <f>IF(B36=C36,"Y","N")</f>
        <v>Y</v>
      </c>
      <c r="E36" s="19" t="s">
        <v>76</v>
      </c>
      <c r="F36" s="5" t="str">
        <f t="shared" si="0"/>
        <v>N</v>
      </c>
    </row>
    <row r="37" spans="1:6" x14ac:dyDescent="0.25">
      <c r="A37" s="10"/>
      <c r="B37" s="5" t="s">
        <v>63</v>
      </c>
      <c r="C37" s="5" t="s">
        <v>63</v>
      </c>
      <c r="D37" s="5" t="str">
        <f>IF(B37=C37,"Y","N")</f>
        <v>Y</v>
      </c>
      <c r="E37" s="19" t="s">
        <v>78</v>
      </c>
      <c r="F37" s="5" t="str">
        <f t="shared" si="0"/>
        <v>N</v>
      </c>
    </row>
    <row r="38" spans="1:6" x14ac:dyDescent="0.25">
      <c r="A38" s="10"/>
      <c r="B38" s="5" t="s">
        <v>65</v>
      </c>
      <c r="C38" s="5" t="s">
        <v>65</v>
      </c>
      <c r="D38" s="5" t="str">
        <f>IF(B38=C38,"Y","N")</f>
        <v>Y</v>
      </c>
      <c r="E38" s="19" t="s">
        <v>80</v>
      </c>
      <c r="F38" s="5" t="str">
        <f t="shared" si="0"/>
        <v>N</v>
      </c>
    </row>
    <row r="39" spans="1:6" x14ac:dyDescent="0.25">
      <c r="A39" s="10"/>
      <c r="B39" s="5" t="s">
        <v>67</v>
      </c>
      <c r="C39" s="5" t="s">
        <v>67</v>
      </c>
      <c r="D39" s="5" t="str">
        <f>IF(B39=C39,"Y","N")</f>
        <v>Y</v>
      </c>
      <c r="E39" s="19" t="s">
        <v>82</v>
      </c>
      <c r="F39" s="5" t="str">
        <f t="shared" si="0"/>
        <v>N</v>
      </c>
    </row>
    <row r="40" spans="1:6" x14ac:dyDescent="0.25">
      <c r="A40" s="10"/>
      <c r="B40" s="5" t="s">
        <v>69</v>
      </c>
      <c r="C40" s="5" t="s">
        <v>69</v>
      </c>
      <c r="D40" s="5" t="str">
        <f>IF(B40=C40,"Y","N")</f>
        <v>Y</v>
      </c>
      <c r="E40" s="19" t="s">
        <v>84</v>
      </c>
      <c r="F40" s="5" t="str">
        <f t="shared" si="0"/>
        <v>N</v>
      </c>
    </row>
    <row r="41" spans="1:6" x14ac:dyDescent="0.25">
      <c r="A41" s="10"/>
      <c r="B41" s="5" t="s">
        <v>71</v>
      </c>
      <c r="C41" s="5" t="s">
        <v>71</v>
      </c>
      <c r="D41" s="5" t="str">
        <f>IF(B41=C41,"Y","N")</f>
        <v>Y</v>
      </c>
      <c r="E41" s="19" t="s">
        <v>71</v>
      </c>
      <c r="F41" s="5" t="str">
        <f t="shared" si="0"/>
        <v>Y</v>
      </c>
    </row>
    <row r="42" spans="1:6" x14ac:dyDescent="0.25">
      <c r="A42" s="10"/>
      <c r="B42" s="5" t="s">
        <v>73</v>
      </c>
      <c r="C42" s="5" t="s">
        <v>73</v>
      </c>
      <c r="D42" s="5" t="str">
        <f>IF(B42=C42,"Y","N")</f>
        <v>Y</v>
      </c>
      <c r="E42" s="19" t="s">
        <v>73</v>
      </c>
      <c r="F42" s="5" t="str">
        <f t="shared" si="0"/>
        <v>Y</v>
      </c>
    </row>
    <row r="43" spans="1:6" x14ac:dyDescent="0.25">
      <c r="A43" s="10"/>
      <c r="B43" s="5" t="s">
        <v>75</v>
      </c>
      <c r="C43" s="5" t="s">
        <v>75</v>
      </c>
      <c r="D43" s="5" t="str">
        <f>IF(B43=C43,"Y","N")</f>
        <v>Y</v>
      </c>
      <c r="E43" s="19" t="s">
        <v>75</v>
      </c>
      <c r="F43" s="5" t="str">
        <f t="shared" si="0"/>
        <v>Y</v>
      </c>
    </row>
    <row r="44" spans="1:6" x14ac:dyDescent="0.25">
      <c r="A44" s="10"/>
      <c r="B44" s="5" t="s">
        <v>77</v>
      </c>
      <c r="C44" s="5" t="s">
        <v>77</v>
      </c>
      <c r="D44" s="5" t="str">
        <f>IF(B44=C44,"Y","N")</f>
        <v>Y</v>
      </c>
      <c r="E44" s="19" t="s">
        <v>77</v>
      </c>
      <c r="F44" s="5" t="str">
        <f t="shared" si="0"/>
        <v>Y</v>
      </c>
    </row>
    <row r="45" spans="1:6" x14ac:dyDescent="0.25">
      <c r="A45" s="10"/>
      <c r="B45" s="5" t="s">
        <v>79</v>
      </c>
      <c r="C45" s="5" t="s">
        <v>79</v>
      </c>
      <c r="D45" s="5" t="str">
        <f>IF(B45=C45,"Y","N")</f>
        <v>Y</v>
      </c>
      <c r="E45" s="19" t="s">
        <v>79</v>
      </c>
      <c r="F45" s="5" t="str">
        <f t="shared" si="0"/>
        <v>Y</v>
      </c>
    </row>
    <row r="46" spans="1:6" x14ac:dyDescent="0.25">
      <c r="A46" s="10"/>
      <c r="B46" s="5" t="s">
        <v>81</v>
      </c>
      <c r="C46" s="5" t="s">
        <v>81</v>
      </c>
      <c r="D46" s="5" t="str">
        <f>IF(B46=C46,"Y","N")</f>
        <v>Y</v>
      </c>
      <c r="E46" s="19" t="s">
        <v>81</v>
      </c>
      <c r="F46" s="5" t="str">
        <f t="shared" si="0"/>
        <v>Y</v>
      </c>
    </row>
    <row r="47" spans="1:6" x14ac:dyDescent="0.25">
      <c r="A47" s="10"/>
      <c r="B47" s="5" t="s">
        <v>83</v>
      </c>
      <c r="C47" s="5" t="s">
        <v>83</v>
      </c>
      <c r="D47" s="5" t="str">
        <f>IF(B47=C47,"Y","N")</f>
        <v>Y</v>
      </c>
      <c r="E47" s="19" t="s">
        <v>83</v>
      </c>
      <c r="F47" s="5" t="str">
        <f t="shared" si="0"/>
        <v>Y</v>
      </c>
    </row>
    <row r="48" spans="1:6" x14ac:dyDescent="0.25">
      <c r="A48" s="10"/>
      <c r="B48" s="5" t="s">
        <v>85</v>
      </c>
      <c r="C48" s="5" t="s">
        <v>85</v>
      </c>
      <c r="D48" s="5" t="str">
        <f>IF(B48=C48,"Y","N")</f>
        <v>Y</v>
      </c>
      <c r="E48" s="19" t="s">
        <v>85</v>
      </c>
      <c r="F48" s="5" t="str">
        <f t="shared" si="0"/>
        <v>Y</v>
      </c>
    </row>
    <row r="49" spans="1:9" x14ac:dyDescent="0.25">
      <c r="A49" s="10"/>
      <c r="B49" s="5" t="s">
        <v>86</v>
      </c>
      <c r="C49" s="5" t="s">
        <v>86</v>
      </c>
      <c r="D49" s="5" t="str">
        <f>IF(B49=C49,"Y","N")</f>
        <v>Y</v>
      </c>
      <c r="E49" s="19" t="s">
        <v>86</v>
      </c>
      <c r="F49" s="5" t="str">
        <f t="shared" si="0"/>
        <v>Y</v>
      </c>
      <c r="I49"/>
    </row>
    <row r="50" spans="1:9" x14ac:dyDescent="0.25">
      <c r="A50" s="10"/>
      <c r="B50" s="5" t="s">
        <v>206</v>
      </c>
      <c r="C50" s="5" t="s">
        <v>206</v>
      </c>
      <c r="D50" s="5" t="str">
        <f>IF(B50=C50,"Y","N")</f>
        <v>Y</v>
      </c>
      <c r="E50" s="19" t="s">
        <v>206</v>
      </c>
      <c r="F50" s="5" t="str">
        <f t="shared" si="0"/>
        <v>Y</v>
      </c>
    </row>
    <row r="51" spans="1:9" x14ac:dyDescent="0.25">
      <c r="A51" s="10"/>
      <c r="B51" s="5" t="s">
        <v>88</v>
      </c>
      <c r="C51" s="5" t="s">
        <v>88</v>
      </c>
      <c r="D51" s="5" t="str">
        <f>IF(B51=C51,"Y","N")</f>
        <v>Y</v>
      </c>
      <c r="E51" s="19" t="s">
        <v>88</v>
      </c>
      <c r="F51" s="5" t="str">
        <f t="shared" si="0"/>
        <v>Y</v>
      </c>
    </row>
    <row r="52" spans="1:9" x14ac:dyDescent="0.25">
      <c r="A52" s="10"/>
      <c r="B52" s="5" t="s">
        <v>89</v>
      </c>
      <c r="C52" s="5" t="s">
        <v>89</v>
      </c>
      <c r="D52" s="5" t="str">
        <f>IF(B52=C52,"Y","N")</f>
        <v>Y</v>
      </c>
      <c r="E52" s="19" t="s">
        <v>89</v>
      </c>
      <c r="F52" s="5" t="str">
        <f t="shared" si="0"/>
        <v>Y</v>
      </c>
    </row>
    <row r="53" spans="1:9" x14ac:dyDescent="0.25">
      <c r="A53" s="10"/>
      <c r="B53" s="5" t="s">
        <v>90</v>
      </c>
      <c r="C53" s="5" t="s">
        <v>90</v>
      </c>
      <c r="D53" s="5" t="str">
        <f>IF(B53=C53,"Y","N")</f>
        <v>Y</v>
      </c>
      <c r="E53" s="19" t="s">
        <v>90</v>
      </c>
      <c r="F53" s="5" t="str">
        <f t="shared" si="0"/>
        <v>Y</v>
      </c>
    </row>
    <row r="54" spans="1:9" x14ac:dyDescent="0.25">
      <c r="A54" s="10"/>
      <c r="B54" s="5" t="s">
        <v>91</v>
      </c>
      <c r="C54" s="5" t="s">
        <v>91</v>
      </c>
      <c r="D54" s="5" t="str">
        <f>IF(B54=C54,"Y","N")</f>
        <v>Y</v>
      </c>
      <c r="E54" s="19" t="s">
        <v>91</v>
      </c>
      <c r="F54" s="5" t="str">
        <f t="shared" si="0"/>
        <v>Y</v>
      </c>
    </row>
    <row r="55" spans="1:9" x14ac:dyDescent="0.25">
      <c r="A55" s="10"/>
      <c r="B55" s="5" t="s">
        <v>92</v>
      </c>
      <c r="C55" s="5" t="s">
        <v>92</v>
      </c>
      <c r="D55" s="5" t="str">
        <f>IF(B55=C55,"Y","N")</f>
        <v>Y</v>
      </c>
      <c r="E55" s="19" t="s">
        <v>92</v>
      </c>
      <c r="F55" s="5" t="str">
        <f t="shared" si="0"/>
        <v>Y</v>
      </c>
      <c r="I55"/>
    </row>
    <row r="56" spans="1:9" x14ac:dyDescent="0.25">
      <c r="A56" s="10"/>
      <c r="B56" s="5" t="s">
        <v>93</v>
      </c>
      <c r="C56" s="5" t="s">
        <v>93</v>
      </c>
      <c r="D56" s="5" t="str">
        <f>IF(B56=C56,"Y","N")</f>
        <v>Y</v>
      </c>
      <c r="E56" s="19" t="s">
        <v>93</v>
      </c>
      <c r="F56" s="5" t="str">
        <f t="shared" si="0"/>
        <v>Y</v>
      </c>
    </row>
    <row r="57" spans="1:9" x14ac:dyDescent="0.25">
      <c r="A57" s="10"/>
      <c r="B57" s="5" t="s">
        <v>95</v>
      </c>
      <c r="C57" s="5" t="s">
        <v>95</v>
      </c>
      <c r="D57" s="5" t="str">
        <f>IF(B57=C57,"Y","N")</f>
        <v>Y</v>
      </c>
      <c r="E57" s="19" t="s">
        <v>95</v>
      </c>
      <c r="F57" s="5" t="str">
        <f t="shared" si="0"/>
        <v>Y</v>
      </c>
    </row>
    <row r="58" spans="1:9" x14ac:dyDescent="0.25">
      <c r="A58" s="10"/>
      <c r="B58" s="5" t="s">
        <v>96</v>
      </c>
      <c r="C58" s="5" t="s">
        <v>96</v>
      </c>
      <c r="D58" s="5" t="str">
        <f>IF(B58=C58,"Y","N")</f>
        <v>Y</v>
      </c>
      <c r="E58" s="19" t="s">
        <v>96</v>
      </c>
      <c r="F58" s="5" t="str">
        <f t="shared" si="0"/>
        <v>Y</v>
      </c>
    </row>
    <row r="59" spans="1:9" x14ac:dyDescent="0.25">
      <c r="A59" s="10"/>
      <c r="B59" s="5" t="s">
        <v>97</v>
      </c>
      <c r="C59" s="5" t="s">
        <v>97</v>
      </c>
      <c r="D59" s="5" t="str">
        <f>IF(B59=C59,"Y","N")</f>
        <v>Y</v>
      </c>
      <c r="E59" s="19" t="s">
        <v>97</v>
      </c>
      <c r="F59" s="5" t="str">
        <f t="shared" si="0"/>
        <v>Y</v>
      </c>
      <c r="I59"/>
    </row>
    <row r="60" spans="1:9" x14ac:dyDescent="0.25">
      <c r="A60" s="10"/>
      <c r="B60" s="5" t="s">
        <v>98</v>
      </c>
      <c r="C60" s="5" t="s">
        <v>98</v>
      </c>
      <c r="D60" s="5" t="str">
        <f>IF(B60=C60,"Y","N")</f>
        <v>Y</v>
      </c>
      <c r="E60" s="19" t="s">
        <v>98</v>
      </c>
      <c r="F60" s="5" t="str">
        <f t="shared" si="0"/>
        <v>Y</v>
      </c>
    </row>
    <row r="61" spans="1:9" x14ac:dyDescent="0.25">
      <c r="A61" s="10"/>
      <c r="B61" s="5" t="s">
        <v>100</v>
      </c>
      <c r="C61" s="5" t="s">
        <v>100</v>
      </c>
      <c r="D61" s="5" t="str">
        <f>IF(B61=C61,"Y","N")</f>
        <v>Y</v>
      </c>
      <c r="E61" s="19" t="s">
        <v>100</v>
      </c>
      <c r="F61" s="5" t="str">
        <f t="shared" si="0"/>
        <v>Y</v>
      </c>
    </row>
    <row r="62" spans="1:9" x14ac:dyDescent="0.25">
      <c r="A62" s="10"/>
      <c r="B62" s="5" t="s">
        <v>101</v>
      </c>
      <c r="C62" s="5" t="s">
        <v>101</v>
      </c>
      <c r="D62" s="5" t="str">
        <f>IF(B62=C62,"Y","N")</f>
        <v>Y</v>
      </c>
      <c r="E62" s="19" t="s">
        <v>101</v>
      </c>
      <c r="F62" s="5" t="str">
        <f t="shared" si="0"/>
        <v>Y</v>
      </c>
    </row>
    <row r="63" spans="1:9" x14ac:dyDescent="0.25">
      <c r="A63" s="10"/>
      <c r="B63" s="5" t="s">
        <v>102</v>
      </c>
      <c r="C63" s="5" t="s">
        <v>102</v>
      </c>
      <c r="D63" s="5" t="str">
        <f>IF(B63=C63,"Y","N")</f>
        <v>Y</v>
      </c>
      <c r="E63" s="19" t="s">
        <v>102</v>
      </c>
      <c r="F63" s="5" t="str">
        <f t="shared" si="0"/>
        <v>Y</v>
      </c>
    </row>
    <row r="64" spans="1:9" x14ac:dyDescent="0.25">
      <c r="A64" s="10"/>
      <c r="B64" s="5" t="s">
        <v>207</v>
      </c>
      <c r="C64" s="5" t="s">
        <v>207</v>
      </c>
      <c r="D64" s="5" t="str">
        <f>IF(B64=C64,"Y","N")</f>
        <v>Y</v>
      </c>
      <c r="E64" s="19" t="s">
        <v>207</v>
      </c>
      <c r="F64" s="5" t="str">
        <f t="shared" si="0"/>
        <v>Y</v>
      </c>
      <c r="I64"/>
    </row>
    <row r="65" spans="1:9" x14ac:dyDescent="0.25">
      <c r="A65" s="10"/>
      <c r="B65" s="5" t="s">
        <v>103</v>
      </c>
      <c r="C65" s="5" t="s">
        <v>103</v>
      </c>
      <c r="D65" s="5" t="str">
        <f>IF(B65=C65,"Y","N")</f>
        <v>Y</v>
      </c>
      <c r="E65" s="19" t="s">
        <v>103</v>
      </c>
      <c r="F65" s="5" t="str">
        <f t="shared" si="0"/>
        <v>Y</v>
      </c>
    </row>
    <row r="66" spans="1:9" x14ac:dyDescent="0.25">
      <c r="A66" s="10"/>
      <c r="B66" s="5" t="s">
        <v>105</v>
      </c>
      <c r="C66" s="5" t="s">
        <v>105</v>
      </c>
      <c r="D66" s="5" t="str">
        <f>IF(B66=C66,"Y","N")</f>
        <v>Y</v>
      </c>
      <c r="E66" s="19" t="s">
        <v>105</v>
      </c>
      <c r="F66" s="5" t="str">
        <f t="shared" si="0"/>
        <v>Y</v>
      </c>
      <c r="I66"/>
    </row>
    <row r="67" spans="1:9" x14ac:dyDescent="0.25">
      <c r="A67" s="10"/>
      <c r="B67" s="5" t="s">
        <v>106</v>
      </c>
      <c r="C67" s="5" t="s">
        <v>106</v>
      </c>
      <c r="D67" s="5" t="str">
        <f>IF(B67=C67,"Y","N")</f>
        <v>Y</v>
      </c>
      <c r="E67" s="19" t="s">
        <v>106</v>
      </c>
      <c r="F67" s="5" t="str">
        <f t="shared" si="0"/>
        <v>Y</v>
      </c>
      <c r="I67"/>
    </row>
    <row r="68" spans="1:9" x14ac:dyDescent="0.25">
      <c r="A68" s="10"/>
      <c r="B68" s="5" t="s">
        <v>208</v>
      </c>
      <c r="C68" s="5" t="s">
        <v>208</v>
      </c>
      <c r="D68" s="5" t="str">
        <f>IF(B68=C68,"Y","N")</f>
        <v>Y</v>
      </c>
      <c r="E68" s="19" t="s">
        <v>208</v>
      </c>
      <c r="F68" s="5" t="str">
        <f t="shared" ref="F68:F71" si="1">IF(C68=E68,"Y","N")</f>
        <v>Y</v>
      </c>
    </row>
    <row r="69" spans="1:9" x14ac:dyDescent="0.25">
      <c r="A69" s="10"/>
      <c r="B69" s="5" t="s">
        <v>110</v>
      </c>
      <c r="C69" s="5" t="s">
        <v>110</v>
      </c>
      <c r="D69" s="5" t="str">
        <f>IF(B69=C69,"Y","N")</f>
        <v>Y</v>
      </c>
      <c r="E69" s="19" t="s">
        <v>110</v>
      </c>
      <c r="F69" s="5" t="str">
        <f t="shared" si="1"/>
        <v>Y</v>
      </c>
    </row>
    <row r="70" spans="1:9" x14ac:dyDescent="0.25">
      <c r="A70" s="10"/>
      <c r="B70" s="5" t="s">
        <v>111</v>
      </c>
      <c r="C70" s="5" t="s">
        <v>111</v>
      </c>
      <c r="D70" s="5" t="str">
        <f>IF(B70=C70,"Y","N")</f>
        <v>Y</v>
      </c>
      <c r="E70" s="19" t="s">
        <v>121</v>
      </c>
      <c r="F70" s="5" t="str">
        <f t="shared" si="1"/>
        <v>N</v>
      </c>
    </row>
    <row r="71" spans="1:9" x14ac:dyDescent="0.25">
      <c r="A71" s="10"/>
      <c r="B71" s="5" t="s">
        <v>112</v>
      </c>
      <c r="C71" s="5" t="s">
        <v>112</v>
      </c>
      <c r="D71" s="5" t="str">
        <f>IF(B71=C71,"Y","N")</f>
        <v>Y</v>
      </c>
      <c r="E71" s="19" t="s">
        <v>122</v>
      </c>
      <c r="F71" s="5" t="str">
        <f t="shared" si="1"/>
        <v>N</v>
      </c>
    </row>
  </sheetData>
  <autoFilter ref="A2:J71" xr:uid="{00000000-0001-0000-1200-000000000000}"/>
  <conditionalFormatting sqref="E1 D47 D48:E51 D52:D54 D2:E22 D23 I49 D24:E46 D55:E1048576">
    <cfRule type="cellIs" dxfId="20" priority="3" operator="equal">
      <formula>"N"</formula>
    </cfRule>
  </conditionalFormatting>
  <conditionalFormatting sqref="G24">
    <cfRule type="cellIs" dxfId="19" priority="2" operator="equal">
      <formula>"N"</formula>
    </cfRule>
  </conditionalFormatting>
  <conditionalFormatting sqref="F3:F71">
    <cfRule type="cellIs" dxfId="18" priority="1" operator="equal">
      <formula>"N"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223</v>
      </c>
      <c r="C2" s="12" t="s">
        <v>225</v>
      </c>
      <c r="D2" s="5" t="s">
        <v>336</v>
      </c>
      <c r="E2" s="12" t="s">
        <v>224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19" t="s">
        <v>30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19" t="s">
        <v>32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36</v>
      </c>
      <c r="C19" s="5" t="s">
        <v>36</v>
      </c>
      <c r="D19" s="5" t="str">
        <f>IF(B19=C19,"Y","N")</f>
        <v>Y</v>
      </c>
      <c r="E19" s="19" t="s">
        <v>36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38</v>
      </c>
      <c r="C20" s="5" t="s">
        <v>38</v>
      </c>
      <c r="D20" s="5" t="str">
        <f>IF(B20=C20,"Y","N")</f>
        <v>Y</v>
      </c>
      <c r="E20" s="19" t="s">
        <v>38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42</v>
      </c>
      <c r="C21" s="5" t="s">
        <v>42</v>
      </c>
      <c r="D21" s="5" t="str">
        <f>IF(B21=C21,"Y","N")</f>
        <v>Y</v>
      </c>
      <c r="E21" s="19" t="s">
        <v>42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44</v>
      </c>
      <c r="C22" s="5" t="s">
        <v>44</v>
      </c>
      <c r="D22" s="5" t="str">
        <f>IF(B22=C22,"Y","N")</f>
        <v>Y</v>
      </c>
      <c r="E22" s="19" t="s">
        <v>44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45</v>
      </c>
      <c r="C23" s="5" t="s">
        <v>45</v>
      </c>
      <c r="D23" s="5" t="str">
        <f>IF(B23=C23,"Y","N")</f>
        <v>Y</v>
      </c>
      <c r="E23" s="6"/>
      <c r="F23" s="5" t="str">
        <f t="shared" si="0"/>
        <v>N</v>
      </c>
      <c r="G23" s="14" t="s">
        <v>341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46</v>
      </c>
      <c r="C24" s="5" t="s">
        <v>46</v>
      </c>
      <c r="D24" s="5" t="str">
        <f>IF(B24=C24,"Y","N")</f>
        <v>Y</v>
      </c>
      <c r="E24" s="19" t="s">
        <v>46</v>
      </c>
      <c r="F24" s="5" t="str">
        <f t="shared" si="0"/>
        <v>Y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47</v>
      </c>
      <c r="C25" s="5" t="s">
        <v>47</v>
      </c>
      <c r="D25" s="5" t="str">
        <f>IF(B25=C25,"Y","N")</f>
        <v>Y</v>
      </c>
      <c r="E25" s="19" t="s">
        <v>56</v>
      </c>
      <c r="F25" s="5" t="str">
        <f t="shared" si="0"/>
        <v>N</v>
      </c>
    </row>
    <row r="26" spans="1:10" x14ac:dyDescent="0.25">
      <c r="A26" s="10"/>
      <c r="B26" s="5" t="s">
        <v>48</v>
      </c>
      <c r="C26" s="5" t="s">
        <v>48</v>
      </c>
      <c r="D26" s="5" t="str">
        <f>IF(B26=C26,"Y","N")</f>
        <v>Y</v>
      </c>
      <c r="E26" s="19" t="s">
        <v>58</v>
      </c>
      <c r="F26" s="5" t="str">
        <f t="shared" si="0"/>
        <v>N</v>
      </c>
    </row>
    <row r="27" spans="1:10" x14ac:dyDescent="0.25">
      <c r="A27" s="10"/>
      <c r="B27" s="5" t="s">
        <v>49</v>
      </c>
      <c r="C27" s="5" t="s">
        <v>49</v>
      </c>
      <c r="D27" s="5" t="str">
        <f>IF(B27=C27,"Y","N")</f>
        <v>Y</v>
      </c>
      <c r="E27" s="19" t="s">
        <v>60</v>
      </c>
      <c r="F27" s="5" t="str">
        <f t="shared" si="0"/>
        <v>N</v>
      </c>
    </row>
    <row r="28" spans="1:10" x14ac:dyDescent="0.25">
      <c r="A28" s="10"/>
      <c r="B28" s="5" t="s">
        <v>50</v>
      </c>
      <c r="C28" s="5" t="s">
        <v>50</v>
      </c>
      <c r="D28" s="5" t="str">
        <f>IF(B28=C28,"Y","N")</f>
        <v>Y</v>
      </c>
      <c r="E28" s="19" t="s">
        <v>62</v>
      </c>
      <c r="F28" s="5" t="str">
        <f t="shared" si="0"/>
        <v>N</v>
      </c>
    </row>
    <row r="29" spans="1:10" x14ac:dyDescent="0.25">
      <c r="A29" s="10"/>
      <c r="B29" s="5" t="s">
        <v>51</v>
      </c>
      <c r="C29" s="5" t="s">
        <v>51</v>
      </c>
      <c r="D29" s="5" t="str">
        <f>IF(B29=C29,"Y","N")</f>
        <v>Y</v>
      </c>
      <c r="E29" s="19" t="s">
        <v>64</v>
      </c>
      <c r="F29" s="5" t="str">
        <f t="shared" si="0"/>
        <v>N</v>
      </c>
      <c r="I29"/>
    </row>
    <row r="30" spans="1:10" x14ac:dyDescent="0.25">
      <c r="A30" s="10"/>
      <c r="B30" s="5" t="s">
        <v>53</v>
      </c>
      <c r="C30" s="5" t="s">
        <v>53</v>
      </c>
      <c r="D30" s="5" t="str">
        <f>IF(B30=C30,"Y","N")</f>
        <v>Y</v>
      </c>
      <c r="E30" s="19" t="s">
        <v>66</v>
      </c>
      <c r="F30" s="5" t="str">
        <f t="shared" si="0"/>
        <v>N</v>
      </c>
    </row>
    <row r="31" spans="1:10" x14ac:dyDescent="0.25">
      <c r="A31" s="10"/>
      <c r="B31" s="5" t="s">
        <v>54</v>
      </c>
      <c r="C31" s="5" t="s">
        <v>54</v>
      </c>
      <c r="D31" s="5" t="str">
        <f>IF(B31=C31,"Y","N")</f>
        <v>Y</v>
      </c>
      <c r="E31" s="19" t="s">
        <v>68</v>
      </c>
      <c r="F31" s="5" t="str">
        <f t="shared" si="0"/>
        <v>N</v>
      </c>
    </row>
    <row r="32" spans="1:10" x14ac:dyDescent="0.25">
      <c r="A32" s="10"/>
      <c r="B32" s="5" t="s">
        <v>55</v>
      </c>
      <c r="C32" s="5" t="s">
        <v>55</v>
      </c>
      <c r="D32" s="5" t="str">
        <f>IF(B32=C32,"Y","N")</f>
        <v>Y</v>
      </c>
      <c r="E32" s="19" t="s">
        <v>70</v>
      </c>
      <c r="F32" s="5" t="str">
        <f t="shared" si="0"/>
        <v>N</v>
      </c>
    </row>
    <row r="33" spans="1:9" x14ac:dyDescent="0.25">
      <c r="A33" s="10"/>
      <c r="B33" s="5" t="s">
        <v>57</v>
      </c>
      <c r="C33" s="5" t="s">
        <v>57</v>
      </c>
      <c r="D33" s="5" t="str">
        <f>IF(B33=C33,"Y","N")</f>
        <v>Y</v>
      </c>
      <c r="E33" s="19" t="s">
        <v>72</v>
      </c>
      <c r="F33" s="5" t="str">
        <f t="shared" si="0"/>
        <v>N</v>
      </c>
    </row>
    <row r="34" spans="1:9" x14ac:dyDescent="0.25">
      <c r="A34" s="10"/>
      <c r="B34" s="5" t="s">
        <v>59</v>
      </c>
      <c r="C34" s="5" t="s">
        <v>59</v>
      </c>
      <c r="D34" s="5" t="str">
        <f>IF(B34=C34,"Y","N")</f>
        <v>Y</v>
      </c>
      <c r="E34" s="19" t="s">
        <v>74</v>
      </c>
      <c r="F34" s="5" t="str">
        <f t="shared" si="0"/>
        <v>N</v>
      </c>
    </row>
    <row r="35" spans="1:9" x14ac:dyDescent="0.25">
      <c r="A35" s="10"/>
      <c r="B35" s="5" t="s">
        <v>61</v>
      </c>
      <c r="C35" s="5" t="s">
        <v>61</v>
      </c>
      <c r="D35" s="5" t="str">
        <f>IF(B35=C35,"Y","N")</f>
        <v>Y</v>
      </c>
      <c r="E35" s="19" t="s">
        <v>76</v>
      </c>
      <c r="F35" s="5" t="str">
        <f t="shared" si="0"/>
        <v>N</v>
      </c>
    </row>
    <row r="36" spans="1:9" x14ac:dyDescent="0.25">
      <c r="A36" s="10"/>
      <c r="B36" s="5" t="s">
        <v>63</v>
      </c>
      <c r="C36" s="5" t="s">
        <v>63</v>
      </c>
      <c r="D36" s="5" t="str">
        <f>IF(B36=C36,"Y","N")</f>
        <v>Y</v>
      </c>
      <c r="E36" s="19" t="s">
        <v>78</v>
      </c>
      <c r="F36" s="5" t="str">
        <f t="shared" si="0"/>
        <v>N</v>
      </c>
    </row>
    <row r="37" spans="1:9" x14ac:dyDescent="0.25">
      <c r="A37" s="10"/>
      <c r="B37" s="5" t="s">
        <v>65</v>
      </c>
      <c r="C37" s="5" t="s">
        <v>65</v>
      </c>
      <c r="D37" s="5" t="str">
        <f>IF(B37=C37,"Y","N")</f>
        <v>Y</v>
      </c>
      <c r="E37" s="19" t="s">
        <v>80</v>
      </c>
      <c r="F37" s="5" t="str">
        <f t="shared" si="0"/>
        <v>N</v>
      </c>
    </row>
    <row r="38" spans="1:9" x14ac:dyDescent="0.25">
      <c r="A38" s="10"/>
      <c r="B38" s="5" t="s">
        <v>67</v>
      </c>
      <c r="C38" s="5" t="s">
        <v>67</v>
      </c>
      <c r="D38" s="5" t="str">
        <f>IF(B38=C38,"Y","N")</f>
        <v>Y</v>
      </c>
      <c r="E38" s="19" t="s">
        <v>82</v>
      </c>
      <c r="F38" s="5" t="str">
        <f t="shared" si="0"/>
        <v>N</v>
      </c>
    </row>
    <row r="39" spans="1:9" x14ac:dyDescent="0.25">
      <c r="A39" s="10"/>
      <c r="B39" s="5" t="s">
        <v>69</v>
      </c>
      <c r="C39" s="5" t="s">
        <v>69</v>
      </c>
      <c r="D39" s="5" t="str">
        <f>IF(B39=C39,"Y","N")</f>
        <v>Y</v>
      </c>
      <c r="E39" s="19" t="s">
        <v>84</v>
      </c>
      <c r="F39" s="5" t="str">
        <f t="shared" si="0"/>
        <v>N</v>
      </c>
    </row>
    <row r="40" spans="1:9" x14ac:dyDescent="0.25">
      <c r="A40" s="10"/>
      <c r="B40" s="5" t="s">
        <v>71</v>
      </c>
      <c r="C40" s="5" t="s">
        <v>71</v>
      </c>
      <c r="D40" s="5" t="str">
        <f>IF(B40=C40,"Y","N")</f>
        <v>Y</v>
      </c>
      <c r="E40" s="19" t="s">
        <v>71</v>
      </c>
      <c r="F40" s="5" t="str">
        <f t="shared" si="0"/>
        <v>Y</v>
      </c>
    </row>
    <row r="41" spans="1:9" x14ac:dyDescent="0.25">
      <c r="A41" s="10"/>
      <c r="B41" s="5" t="s">
        <v>73</v>
      </c>
      <c r="C41" s="5" t="s">
        <v>73</v>
      </c>
      <c r="D41" s="5" t="str">
        <f>IF(B41=C41,"Y","N")</f>
        <v>Y</v>
      </c>
      <c r="E41" s="19" t="s">
        <v>73</v>
      </c>
      <c r="F41" s="5" t="str">
        <f t="shared" si="0"/>
        <v>Y</v>
      </c>
    </row>
    <row r="42" spans="1:9" x14ac:dyDescent="0.25">
      <c r="A42" s="10"/>
      <c r="B42" s="5" t="s">
        <v>75</v>
      </c>
      <c r="C42" s="5" t="s">
        <v>75</v>
      </c>
      <c r="D42" s="5" t="str">
        <f>IF(B42=C42,"Y","N")</f>
        <v>Y</v>
      </c>
      <c r="E42" s="19" t="s">
        <v>75</v>
      </c>
      <c r="F42" s="5" t="str">
        <f t="shared" si="0"/>
        <v>Y</v>
      </c>
    </row>
    <row r="43" spans="1:9" x14ac:dyDescent="0.25">
      <c r="A43" s="10"/>
      <c r="B43" s="5" t="s">
        <v>77</v>
      </c>
      <c r="C43" s="5" t="s">
        <v>77</v>
      </c>
      <c r="D43" s="5" t="str">
        <f>IF(B43=C43,"Y","N")</f>
        <v>Y</v>
      </c>
      <c r="E43" s="19" t="s">
        <v>77</v>
      </c>
      <c r="F43" s="5" t="str">
        <f t="shared" si="0"/>
        <v>Y</v>
      </c>
    </row>
    <row r="44" spans="1:9" x14ac:dyDescent="0.25">
      <c r="A44" s="10"/>
      <c r="B44" s="5" t="s">
        <v>79</v>
      </c>
      <c r="C44" s="5" t="s">
        <v>79</v>
      </c>
      <c r="D44" s="5" t="str">
        <f>IF(B44=C44,"Y","N")</f>
        <v>Y</v>
      </c>
      <c r="E44" s="19" t="s">
        <v>79</v>
      </c>
      <c r="F44" s="5" t="str">
        <f t="shared" si="0"/>
        <v>Y</v>
      </c>
    </row>
    <row r="45" spans="1:9" x14ac:dyDescent="0.25">
      <c r="A45" s="10"/>
      <c r="B45" s="5" t="s">
        <v>81</v>
      </c>
      <c r="C45" s="5" t="s">
        <v>81</v>
      </c>
      <c r="D45" s="5" t="str">
        <f>IF(B45=C45,"Y","N")</f>
        <v>Y</v>
      </c>
      <c r="E45" s="19" t="s">
        <v>81</v>
      </c>
      <c r="F45" s="5" t="str">
        <f t="shared" si="0"/>
        <v>Y</v>
      </c>
    </row>
    <row r="46" spans="1:9" x14ac:dyDescent="0.25">
      <c r="A46" s="10"/>
      <c r="B46" s="5" t="s">
        <v>83</v>
      </c>
      <c r="C46" s="5" t="s">
        <v>83</v>
      </c>
      <c r="D46" s="5" t="str">
        <f>IF(B46=C46,"Y","N")</f>
        <v>Y</v>
      </c>
      <c r="E46" s="19" t="s">
        <v>83</v>
      </c>
      <c r="F46" s="5" t="str">
        <f t="shared" si="0"/>
        <v>Y</v>
      </c>
    </row>
    <row r="47" spans="1:9" x14ac:dyDescent="0.25">
      <c r="A47" s="10"/>
      <c r="B47" s="5" t="s">
        <v>85</v>
      </c>
      <c r="C47" s="5" t="s">
        <v>85</v>
      </c>
      <c r="D47" s="5" t="str">
        <f>IF(B47=C47,"Y","N")</f>
        <v>Y</v>
      </c>
      <c r="E47" s="19" t="s">
        <v>85</v>
      </c>
      <c r="F47" s="5" t="str">
        <f t="shared" si="0"/>
        <v>Y</v>
      </c>
    </row>
    <row r="48" spans="1:9" x14ac:dyDescent="0.25">
      <c r="A48" s="10"/>
      <c r="B48" s="5" t="s">
        <v>86</v>
      </c>
      <c r="C48" s="5" t="s">
        <v>86</v>
      </c>
      <c r="D48" s="5" t="str">
        <f>IF(B48=C48,"Y","N")</f>
        <v>Y</v>
      </c>
      <c r="E48" s="19" t="s">
        <v>86</v>
      </c>
      <c r="F48" s="5" t="str">
        <f t="shared" si="0"/>
        <v>Y</v>
      </c>
      <c r="I48"/>
    </row>
    <row r="49" spans="1:9" x14ac:dyDescent="0.25">
      <c r="A49" s="10"/>
      <c r="B49" s="5" t="s">
        <v>88</v>
      </c>
      <c r="C49" s="5" t="s">
        <v>88</v>
      </c>
      <c r="D49" s="5" t="str">
        <f>IF(B49=C49,"Y","N")</f>
        <v>Y</v>
      </c>
      <c r="E49" s="19" t="s">
        <v>88</v>
      </c>
      <c r="F49" s="5" t="str">
        <f t="shared" si="0"/>
        <v>Y</v>
      </c>
    </row>
    <row r="50" spans="1:9" x14ac:dyDescent="0.25">
      <c r="A50" s="10"/>
      <c r="B50" s="5" t="s">
        <v>89</v>
      </c>
      <c r="C50" s="5" t="s">
        <v>89</v>
      </c>
      <c r="D50" s="5" t="str">
        <f>IF(B50=C50,"Y","N")</f>
        <v>Y</v>
      </c>
      <c r="E50" s="19" t="s">
        <v>89</v>
      </c>
      <c r="F50" s="5" t="str">
        <f t="shared" si="0"/>
        <v>Y</v>
      </c>
    </row>
    <row r="51" spans="1:9" x14ac:dyDescent="0.25">
      <c r="A51" s="10"/>
      <c r="B51" s="5" t="s">
        <v>90</v>
      </c>
      <c r="C51" s="5" t="s">
        <v>90</v>
      </c>
      <c r="D51" s="5" t="str">
        <f>IF(B51=C51,"Y","N")</f>
        <v>Y</v>
      </c>
      <c r="E51" s="19" t="s">
        <v>90</v>
      </c>
      <c r="F51" s="5" t="str">
        <f t="shared" si="0"/>
        <v>Y</v>
      </c>
    </row>
    <row r="52" spans="1:9" x14ac:dyDescent="0.25">
      <c r="A52" s="10"/>
      <c r="B52" s="5" t="s">
        <v>91</v>
      </c>
      <c r="C52" s="5" t="s">
        <v>91</v>
      </c>
      <c r="D52" s="5" t="str">
        <f>IF(B52=C52,"Y","N")</f>
        <v>Y</v>
      </c>
      <c r="E52" s="19" t="s">
        <v>91</v>
      </c>
      <c r="F52" s="5" t="str">
        <f t="shared" si="0"/>
        <v>Y</v>
      </c>
    </row>
    <row r="53" spans="1:9" x14ac:dyDescent="0.25">
      <c r="A53" s="10"/>
      <c r="B53" s="5" t="s">
        <v>92</v>
      </c>
      <c r="C53" s="5" t="s">
        <v>92</v>
      </c>
      <c r="D53" s="5" t="str">
        <f>IF(B53=C53,"Y","N")</f>
        <v>Y</v>
      </c>
      <c r="E53" s="19" t="s">
        <v>92</v>
      </c>
      <c r="F53" s="5" t="str">
        <f t="shared" si="0"/>
        <v>Y</v>
      </c>
    </row>
    <row r="54" spans="1:9" x14ac:dyDescent="0.25">
      <c r="A54" s="10"/>
      <c r="B54" s="5" t="s">
        <v>93</v>
      </c>
      <c r="C54" s="5" t="s">
        <v>93</v>
      </c>
      <c r="D54" s="5" t="str">
        <f>IF(B54=C54,"Y","N")</f>
        <v>Y</v>
      </c>
      <c r="E54" s="19" t="s">
        <v>93</v>
      </c>
      <c r="F54" s="5" t="str">
        <f t="shared" si="0"/>
        <v>Y</v>
      </c>
      <c r="I54"/>
    </row>
    <row r="55" spans="1:9" x14ac:dyDescent="0.25">
      <c r="A55" s="10"/>
      <c r="B55" s="5" t="s">
        <v>95</v>
      </c>
      <c r="C55" s="5" t="s">
        <v>95</v>
      </c>
      <c r="D55" s="5" t="str">
        <f>IF(B55=C55,"Y","N")</f>
        <v>Y</v>
      </c>
      <c r="E55" s="19" t="s">
        <v>95</v>
      </c>
      <c r="F55" s="5" t="str">
        <f t="shared" si="0"/>
        <v>Y</v>
      </c>
    </row>
    <row r="56" spans="1:9" x14ac:dyDescent="0.25">
      <c r="A56" s="10"/>
      <c r="B56" s="5" t="s">
        <v>96</v>
      </c>
      <c r="C56" s="5" t="s">
        <v>96</v>
      </c>
      <c r="D56" s="5" t="str">
        <f>IF(B56=C56,"Y","N")</f>
        <v>Y</v>
      </c>
      <c r="E56" s="19" t="s">
        <v>96</v>
      </c>
      <c r="F56" s="5" t="str">
        <f t="shared" si="0"/>
        <v>Y</v>
      </c>
    </row>
    <row r="57" spans="1:9" x14ac:dyDescent="0.25">
      <c r="A57" s="10"/>
      <c r="B57" s="5" t="s">
        <v>97</v>
      </c>
      <c r="C57" s="5" t="s">
        <v>97</v>
      </c>
      <c r="D57" s="5" t="str">
        <f>IF(B57=C57,"Y","N")</f>
        <v>Y</v>
      </c>
      <c r="E57" s="19" t="s">
        <v>97</v>
      </c>
      <c r="F57" s="5" t="str">
        <f t="shared" si="0"/>
        <v>Y</v>
      </c>
    </row>
    <row r="58" spans="1:9" x14ac:dyDescent="0.25">
      <c r="A58" s="10"/>
      <c r="B58" s="5" t="s">
        <v>98</v>
      </c>
      <c r="C58" s="5" t="s">
        <v>98</v>
      </c>
      <c r="D58" s="5" t="str">
        <f>IF(B58=C58,"Y","N")</f>
        <v>Y</v>
      </c>
      <c r="E58" s="19" t="s">
        <v>98</v>
      </c>
      <c r="F58" s="5" t="str">
        <f t="shared" si="0"/>
        <v>Y</v>
      </c>
      <c r="I58"/>
    </row>
    <row r="59" spans="1:9" x14ac:dyDescent="0.25">
      <c r="A59" s="10"/>
      <c r="B59" s="5" t="s">
        <v>100</v>
      </c>
      <c r="C59" s="5" t="s">
        <v>100</v>
      </c>
      <c r="D59" s="5" t="str">
        <f>IF(B59=C59,"Y","N")</f>
        <v>Y</v>
      </c>
      <c r="E59" s="19" t="s">
        <v>100</v>
      </c>
      <c r="F59" s="5" t="str">
        <f t="shared" si="0"/>
        <v>Y</v>
      </c>
    </row>
    <row r="60" spans="1:9" x14ac:dyDescent="0.25">
      <c r="A60" s="10"/>
      <c r="B60" s="5" t="s">
        <v>101</v>
      </c>
      <c r="C60" s="5" t="s">
        <v>101</v>
      </c>
      <c r="D60" s="5" t="str">
        <f>IF(B60=C60,"Y","N")</f>
        <v>Y</v>
      </c>
      <c r="E60" s="19" t="s">
        <v>101</v>
      </c>
      <c r="F60" s="5" t="str">
        <f t="shared" si="0"/>
        <v>Y</v>
      </c>
    </row>
    <row r="61" spans="1:9" x14ac:dyDescent="0.25">
      <c r="A61" s="10"/>
      <c r="B61" s="5" t="s">
        <v>102</v>
      </c>
      <c r="C61" s="5" t="s">
        <v>102</v>
      </c>
      <c r="D61" s="5" t="str">
        <f>IF(B61=C61,"Y","N")</f>
        <v>Y</v>
      </c>
      <c r="E61" s="19" t="s">
        <v>102</v>
      </c>
      <c r="F61" s="5" t="str">
        <f t="shared" si="0"/>
        <v>Y</v>
      </c>
    </row>
    <row r="62" spans="1:9" x14ac:dyDescent="0.25">
      <c r="A62" s="10"/>
      <c r="B62" s="5" t="s">
        <v>103</v>
      </c>
      <c r="C62" s="5" t="s">
        <v>103</v>
      </c>
      <c r="D62" s="5" t="str">
        <f>IF(B62=C62,"Y","N")</f>
        <v>Y</v>
      </c>
      <c r="E62" s="19" t="s">
        <v>103</v>
      </c>
      <c r="F62" s="5" t="str">
        <f t="shared" si="0"/>
        <v>Y</v>
      </c>
      <c r="I62"/>
    </row>
    <row r="63" spans="1:9" x14ac:dyDescent="0.25">
      <c r="A63" s="10"/>
      <c r="B63" s="5" t="s">
        <v>105</v>
      </c>
      <c r="C63" s="5" t="s">
        <v>105</v>
      </c>
      <c r="D63" s="5" t="str">
        <f>IF(B63=C63,"Y","N")</f>
        <v>Y</v>
      </c>
      <c r="E63" s="19" t="s">
        <v>105</v>
      </c>
      <c r="F63" s="5" t="str">
        <f t="shared" si="0"/>
        <v>Y</v>
      </c>
    </row>
    <row r="64" spans="1:9" x14ac:dyDescent="0.25">
      <c r="A64" s="10"/>
      <c r="B64" s="5" t="s">
        <v>106</v>
      </c>
      <c r="C64" s="5" t="s">
        <v>106</v>
      </c>
      <c r="D64" s="5" t="str">
        <f>IF(B64=C64,"Y","N")</f>
        <v>Y</v>
      </c>
      <c r="E64" s="19" t="s">
        <v>106</v>
      </c>
      <c r="F64" s="5" t="str">
        <f t="shared" si="0"/>
        <v>Y</v>
      </c>
      <c r="I64"/>
    </row>
    <row r="65" spans="1:9" x14ac:dyDescent="0.25">
      <c r="A65" s="10"/>
      <c r="B65" s="5" t="s">
        <v>110</v>
      </c>
      <c r="C65" s="5" t="s">
        <v>110</v>
      </c>
      <c r="D65" s="5" t="str">
        <f>IF(B65=C65,"Y","N")</f>
        <v>Y</v>
      </c>
      <c r="E65" s="19" t="s">
        <v>110</v>
      </c>
      <c r="F65" s="5" t="str">
        <f t="shared" si="0"/>
        <v>Y</v>
      </c>
      <c r="I65"/>
    </row>
    <row r="66" spans="1:9" x14ac:dyDescent="0.25">
      <c r="A66" s="10"/>
      <c r="B66" s="5" t="s">
        <v>111</v>
      </c>
      <c r="C66" s="5" t="s">
        <v>111</v>
      </c>
      <c r="D66" s="5" t="str">
        <f>IF(B66=C66,"Y","N")</f>
        <v>Y</v>
      </c>
      <c r="E66" s="19" t="s">
        <v>121</v>
      </c>
      <c r="F66" s="5" t="str">
        <f t="shared" si="0"/>
        <v>N</v>
      </c>
    </row>
    <row r="67" spans="1:9" x14ac:dyDescent="0.25">
      <c r="A67" s="10"/>
      <c r="B67" s="5" t="s">
        <v>112</v>
      </c>
      <c r="C67" s="5" t="s">
        <v>112</v>
      </c>
      <c r="D67" s="5" t="str">
        <f>IF(B67=C67,"Y","N")</f>
        <v>Y</v>
      </c>
      <c r="E67" s="19" t="s">
        <v>122</v>
      </c>
      <c r="F67" s="5" t="str">
        <f t="shared" si="0"/>
        <v>N</v>
      </c>
    </row>
  </sheetData>
  <autoFilter ref="A2:J67" xr:uid="{00000000-0001-0000-1300-000000000000}"/>
  <conditionalFormatting sqref="E1 D47 D48:E51 D2:E46 D52:D54 E52 D55:E1048576">
    <cfRule type="cellIs" dxfId="17" priority="3" operator="equal">
      <formula>"N"</formula>
    </cfRule>
  </conditionalFormatting>
  <conditionalFormatting sqref="G23">
    <cfRule type="cellIs" dxfId="16" priority="2" operator="equal">
      <formula>"N"</formula>
    </cfRule>
  </conditionalFormatting>
  <conditionalFormatting sqref="F3:F67">
    <cfRule type="cellIs" dxfId="15" priority="1" operator="equal">
      <formula>"N"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24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4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226</v>
      </c>
      <c r="C2" s="12" t="s">
        <v>228</v>
      </c>
      <c r="D2" s="5" t="s">
        <v>336</v>
      </c>
      <c r="E2" s="12" t="s">
        <v>227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7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67" si="0">IF(C4=E4,"Y","N")</f>
        <v>Y</v>
      </c>
      <c r="H4" s="5">
        <v>2</v>
      </c>
      <c r="I4" s="5" t="s">
        <v>13</v>
      </c>
      <c r="J4" s="5" t="str">
        <f>VLOOKUP(I4,'01-Capacitors'!I:J,2,FALSE)</f>
        <v>Empty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5" t="s">
        <v>20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5" t="s">
        <v>22</v>
      </c>
      <c r="J6" s="5" t="str">
        <f>VLOOKUP(I6,'01-Capacitors'!I:J,2,FALSE)</f>
        <v>Empty</v>
      </c>
    </row>
    <row r="7" spans="1:10" x14ac:dyDescent="0.25">
      <c r="A7" s="10"/>
      <c r="B7" s="5" t="s">
        <v>11</v>
      </c>
      <c r="C7" s="5" t="s">
        <v>11</v>
      </c>
      <c r="D7" s="5" t="str">
        <f>IF(B7=C7,"Y","N")</f>
        <v>Y</v>
      </c>
      <c r="E7" s="19" t="s">
        <v>11</v>
      </c>
      <c r="F7" s="5" t="str">
        <f t="shared" si="0"/>
        <v>Y</v>
      </c>
      <c r="H7" s="5">
        <v>5</v>
      </c>
      <c r="I7" s="5" t="s">
        <v>25</v>
      </c>
      <c r="J7" s="5" t="str">
        <f>VLOOKUP(I7,'01-Capacitors'!I:J,2,FALSE)</f>
        <v>some with "DISCRETE" value</v>
      </c>
    </row>
    <row r="8" spans="1:10" x14ac:dyDescent="0.25">
      <c r="A8" s="10"/>
      <c r="B8" s="5" t="s">
        <v>12</v>
      </c>
      <c r="C8" s="5" t="s">
        <v>12</v>
      </c>
      <c r="D8" s="5" t="str">
        <f>IF(B8=C8,"Y","N")</f>
        <v>Y</v>
      </c>
      <c r="E8" s="19" t="s">
        <v>16</v>
      </c>
      <c r="F8" s="5" t="str">
        <f t="shared" si="0"/>
        <v>N</v>
      </c>
      <c r="H8" s="5">
        <v>6</v>
      </c>
      <c r="I8" s="19" t="s">
        <v>27</v>
      </c>
      <c r="J8" s="5" t="str">
        <f>VLOOKUP(I8,'01-Capacitors'!I:J,2,FALSE)</f>
        <v>Empty</v>
      </c>
    </row>
    <row r="9" spans="1:10" x14ac:dyDescent="0.25">
      <c r="A9" s="10"/>
      <c r="B9" s="5" t="s">
        <v>14</v>
      </c>
      <c r="C9" s="5" t="s">
        <v>14</v>
      </c>
      <c r="D9" s="5" t="str">
        <f>IF(B9=C9,"Y","N")</f>
        <v>Y</v>
      </c>
      <c r="E9" s="19" t="s">
        <v>18</v>
      </c>
      <c r="F9" s="5" t="str">
        <f t="shared" si="0"/>
        <v>N</v>
      </c>
      <c r="H9" s="5">
        <v>7</v>
      </c>
      <c r="I9" s="5" t="s">
        <v>29</v>
      </c>
      <c r="J9" s="5" t="str">
        <f>VLOOKUP(I9,'01-Capacitors'!I:J,2,FALSE)</f>
        <v>Empty</v>
      </c>
    </row>
    <row r="10" spans="1:10" x14ac:dyDescent="0.25">
      <c r="A10" s="10"/>
      <c r="B10" s="5" t="s">
        <v>17</v>
      </c>
      <c r="C10" s="5" t="s">
        <v>17</v>
      </c>
      <c r="D10" s="5" t="str">
        <f>IF(B10=C10,"Y","N")</f>
        <v>Y</v>
      </c>
      <c r="E10" s="19" t="s">
        <v>31</v>
      </c>
      <c r="F10" s="5" t="str">
        <f t="shared" si="0"/>
        <v>N</v>
      </c>
      <c r="H10" s="5">
        <v>8</v>
      </c>
      <c r="I10" s="5" t="s">
        <v>52</v>
      </c>
      <c r="J10" s="5" t="str">
        <f>VLOOKUP(I10,'01-Capacitors'!I:J,2,FALSE)</f>
        <v>Empty</v>
      </c>
    </row>
    <row r="11" spans="1:10" x14ac:dyDescent="0.25">
      <c r="A11" s="10"/>
      <c r="B11" s="5" t="s">
        <v>19</v>
      </c>
      <c r="C11" s="5" t="s">
        <v>19</v>
      </c>
      <c r="D11" s="5" t="str">
        <f>IF(B11=C11,"Y","N")</f>
        <v>Y</v>
      </c>
      <c r="E11" s="19" t="s">
        <v>33</v>
      </c>
      <c r="F11" s="5" t="str">
        <f t="shared" si="0"/>
        <v>N</v>
      </c>
      <c r="H11" s="5">
        <v>9</v>
      </c>
      <c r="I11" s="5" t="s">
        <v>87</v>
      </c>
      <c r="J11" s="5" t="str">
        <f>VLOOKUP(I11,'01-Capacitors'!I:J,2,FALSE)</f>
        <v>Empty</v>
      </c>
    </row>
    <row r="12" spans="1:10" x14ac:dyDescent="0.25">
      <c r="A12" s="10"/>
      <c r="B12" s="5" t="s">
        <v>21</v>
      </c>
      <c r="C12" s="5" t="s">
        <v>21</v>
      </c>
      <c r="D12" s="5" t="str">
        <f>IF(B12=C12,"Y","N")</f>
        <v>Y</v>
      </c>
      <c r="E12" s="19" t="s">
        <v>35</v>
      </c>
      <c r="F12" s="5" t="str">
        <f t="shared" si="0"/>
        <v>N</v>
      </c>
      <c r="H12" s="5">
        <v>10</v>
      </c>
      <c r="I12" s="19" t="s">
        <v>94</v>
      </c>
      <c r="J12" s="5" t="str">
        <f>VLOOKUP(I12,'01-Capacitors'!I:J,2,FALSE)</f>
        <v>Empty</v>
      </c>
    </row>
    <row r="13" spans="1:10" x14ac:dyDescent="0.25">
      <c r="A13" s="10"/>
      <c r="B13" s="5" t="s">
        <v>23</v>
      </c>
      <c r="C13" s="5" t="s">
        <v>23</v>
      </c>
      <c r="D13" s="5" t="str">
        <f>IF(B13=C13,"Y","N")</f>
        <v>Y</v>
      </c>
      <c r="E13" s="19" t="s">
        <v>37</v>
      </c>
      <c r="F13" s="5" t="str">
        <f t="shared" si="0"/>
        <v>N</v>
      </c>
      <c r="H13" s="5">
        <v>11</v>
      </c>
      <c r="I13" s="19" t="s">
        <v>99</v>
      </c>
      <c r="J13" s="5" t="str">
        <f>VLOOKUP(I13,'01-Capacitors'!I:J,2,FALSE)</f>
        <v>Empty</v>
      </c>
    </row>
    <row r="14" spans="1:10" x14ac:dyDescent="0.25">
      <c r="A14" s="10"/>
      <c r="B14" s="5" t="s">
        <v>24</v>
      </c>
      <c r="C14" s="5" t="s">
        <v>24</v>
      </c>
      <c r="D14" s="5" t="str">
        <f>IF(B14=C14,"Y","N")</f>
        <v>Y</v>
      </c>
      <c r="E14" s="19" t="s">
        <v>39</v>
      </c>
      <c r="F14" s="5" t="str">
        <f t="shared" si="0"/>
        <v>N</v>
      </c>
      <c r="H14" s="5">
        <v>12</v>
      </c>
      <c r="I14" s="19" t="s">
        <v>104</v>
      </c>
      <c r="J14" s="5" t="str">
        <f>VLOOKUP(I14,'01-Capacitors'!I:J,2,FALSE)</f>
        <v>Empty</v>
      </c>
    </row>
    <row r="15" spans="1:10" x14ac:dyDescent="0.25">
      <c r="A15" s="10"/>
      <c r="B15" s="5" t="s">
        <v>26</v>
      </c>
      <c r="C15" s="5" t="s">
        <v>26</v>
      </c>
      <c r="D15" s="5" t="str">
        <f>IF(B15=C15,"Y","N")</f>
        <v>Y</v>
      </c>
      <c r="E15" s="19" t="s">
        <v>41</v>
      </c>
      <c r="F15" s="5" t="str">
        <f t="shared" si="0"/>
        <v>N</v>
      </c>
      <c r="H15" s="5">
        <v>13</v>
      </c>
      <c r="I15" s="19" t="s">
        <v>107</v>
      </c>
      <c r="J15" s="5" t="str">
        <f>VLOOKUP(I15,'01-Capacitors'!I:J,2,FALSE)</f>
        <v>Empty</v>
      </c>
    </row>
    <row r="16" spans="1:10" x14ac:dyDescent="0.25">
      <c r="A16" s="10"/>
      <c r="B16" s="5" t="s">
        <v>28</v>
      </c>
      <c r="C16" s="5" t="s">
        <v>28</v>
      </c>
      <c r="D16" s="5" t="str">
        <f>IF(B16=C16,"Y","N")</f>
        <v>Y</v>
      </c>
      <c r="E16" s="19" t="s">
        <v>43</v>
      </c>
      <c r="F16" s="5" t="str">
        <f t="shared" si="0"/>
        <v>N</v>
      </c>
      <c r="H16" s="5">
        <v>14</v>
      </c>
      <c r="I16" s="19" t="s">
        <v>109</v>
      </c>
      <c r="J16" s="5" t="str">
        <f>VLOOKUP(I16,'01-Capacitors'!I:J,2,FALSE)</f>
        <v>Empty</v>
      </c>
    </row>
    <row r="17" spans="1:10" x14ac:dyDescent="0.25">
      <c r="A17" s="10"/>
      <c r="B17" s="5" t="s">
        <v>30</v>
      </c>
      <c r="C17" s="5" t="s">
        <v>30</v>
      </c>
      <c r="D17" s="5" t="str">
        <f>IF(B17=C17,"Y","N")</f>
        <v>Y</v>
      </c>
      <c r="E17" s="19" t="s">
        <v>30</v>
      </c>
      <c r="F17" s="5" t="str">
        <f t="shared" si="0"/>
        <v>Y</v>
      </c>
      <c r="H17" s="5">
        <v>15</v>
      </c>
      <c r="I17" s="5" t="s">
        <v>113</v>
      </c>
      <c r="J17" s="5" t="str">
        <f>VLOOKUP(I17,'01-Capacitors'!I:J,2,FALSE)</f>
        <v>Empty</v>
      </c>
    </row>
    <row r="18" spans="1:10" x14ac:dyDescent="0.25">
      <c r="A18" s="10"/>
      <c r="B18" s="5" t="s">
        <v>32</v>
      </c>
      <c r="C18" s="5" t="s">
        <v>32</v>
      </c>
      <c r="D18" s="5" t="str">
        <f>IF(B18=C18,"Y","N")</f>
        <v>Y</v>
      </c>
      <c r="E18" s="19" t="s">
        <v>32</v>
      </c>
      <c r="F18" s="5" t="str">
        <f t="shared" si="0"/>
        <v>Y</v>
      </c>
      <c r="H18" s="5">
        <v>16</v>
      </c>
      <c r="I18" s="5" t="s">
        <v>114</v>
      </c>
      <c r="J18" s="5" t="str">
        <f>VLOOKUP(I18,'01-Capacitors'!I:J,2,FALSE)</f>
        <v>Empty</v>
      </c>
    </row>
    <row r="19" spans="1:10" x14ac:dyDescent="0.25">
      <c r="A19" s="10"/>
      <c r="B19" s="5" t="s">
        <v>36</v>
      </c>
      <c r="C19" s="5" t="s">
        <v>36</v>
      </c>
      <c r="D19" s="5" t="str">
        <f>IF(B19=C19,"Y","N")</f>
        <v>Y</v>
      </c>
      <c r="E19" s="19" t="s">
        <v>36</v>
      </c>
      <c r="F19" s="5" t="str">
        <f t="shared" si="0"/>
        <v>Y</v>
      </c>
      <c r="H19" s="5">
        <v>17</v>
      </c>
      <c r="I19" s="5" t="s">
        <v>115</v>
      </c>
      <c r="J19" s="5" t="str">
        <f>VLOOKUP(I19,'01-Capacitors'!I:J,2,FALSE)</f>
        <v>Empty</v>
      </c>
    </row>
    <row r="20" spans="1:10" x14ac:dyDescent="0.25">
      <c r="A20" s="10"/>
      <c r="B20" s="5" t="s">
        <v>38</v>
      </c>
      <c r="C20" s="5" t="s">
        <v>38</v>
      </c>
      <c r="D20" s="5" t="str">
        <f>IF(B20=C20,"Y","N")</f>
        <v>Y</v>
      </c>
      <c r="E20" s="19" t="s">
        <v>38</v>
      </c>
      <c r="F20" s="5" t="str">
        <f t="shared" si="0"/>
        <v>Y</v>
      </c>
      <c r="H20" s="5">
        <v>18</v>
      </c>
      <c r="I20" s="5" t="s">
        <v>116</v>
      </c>
      <c r="J20" s="5" t="str">
        <f>VLOOKUP(I20,'01-Capacitors'!I:J,2,FALSE)</f>
        <v>Empty</v>
      </c>
    </row>
    <row r="21" spans="1:10" x14ac:dyDescent="0.25">
      <c r="A21" s="10"/>
      <c r="B21" s="5" t="s">
        <v>42</v>
      </c>
      <c r="C21" s="5" t="s">
        <v>42</v>
      </c>
      <c r="D21" s="5" t="str">
        <f>IF(B21=C21,"Y","N")</f>
        <v>Y</v>
      </c>
      <c r="E21" s="19" t="s">
        <v>42</v>
      </c>
      <c r="F21" s="5" t="str">
        <f t="shared" si="0"/>
        <v>Y</v>
      </c>
      <c r="H21" s="5">
        <v>19</v>
      </c>
      <c r="I21" s="5" t="s">
        <v>117</v>
      </c>
      <c r="J21" s="5" t="str">
        <f>VLOOKUP(I21,'01-Capacitors'!I:J,2,FALSE)</f>
        <v>Empty</v>
      </c>
    </row>
    <row r="22" spans="1:10" x14ac:dyDescent="0.25">
      <c r="A22" s="10"/>
      <c r="B22" s="5" t="s">
        <v>44</v>
      </c>
      <c r="C22" s="5" t="s">
        <v>44</v>
      </c>
      <c r="D22" s="5" t="str">
        <f>IF(B22=C22,"Y","N")</f>
        <v>Y</v>
      </c>
      <c r="E22" s="19" t="s">
        <v>44</v>
      </c>
      <c r="F22" s="5" t="str">
        <f t="shared" si="0"/>
        <v>Y</v>
      </c>
      <c r="H22" s="5">
        <v>20</v>
      </c>
      <c r="I22" s="5" t="s">
        <v>118</v>
      </c>
      <c r="J22" s="5" t="str">
        <f>VLOOKUP(I22,'01-Capacitors'!I:J,2,FALSE)</f>
        <v>Empty</v>
      </c>
    </row>
    <row r="23" spans="1:10" x14ac:dyDescent="0.25">
      <c r="A23" s="10"/>
      <c r="B23" s="5" t="s">
        <v>45</v>
      </c>
      <c r="C23" s="5" t="s">
        <v>45</v>
      </c>
      <c r="D23" s="5" t="str">
        <f>IF(B23=C23,"Y","N")</f>
        <v>Y</v>
      </c>
      <c r="E23" s="6"/>
      <c r="F23" s="5" t="str">
        <f t="shared" si="0"/>
        <v>N</v>
      </c>
      <c r="G23" s="14" t="s">
        <v>341</v>
      </c>
      <c r="H23" s="5">
        <v>21</v>
      </c>
      <c r="I23" s="5" t="s">
        <v>119</v>
      </c>
      <c r="J23" s="5" t="str">
        <f>VLOOKUP(I23,'01-Capacitors'!I:J,2,FALSE)</f>
        <v>Empty</v>
      </c>
    </row>
    <row r="24" spans="1:10" x14ac:dyDescent="0.25">
      <c r="A24" s="10"/>
      <c r="B24" s="5" t="s">
        <v>46</v>
      </c>
      <c r="C24" s="5" t="s">
        <v>46</v>
      </c>
      <c r="D24" s="5" t="str">
        <f>IF(B24=C24,"Y","N")</f>
        <v>Y</v>
      </c>
      <c r="E24" s="19" t="s">
        <v>46</v>
      </c>
      <c r="F24" s="5" t="str">
        <f t="shared" si="0"/>
        <v>Y</v>
      </c>
      <c r="H24" s="5">
        <v>22</v>
      </c>
      <c r="I24" s="5" t="s">
        <v>120</v>
      </c>
      <c r="J24" s="5" t="str">
        <f>VLOOKUP(I24,'01-Capacitors'!I:J,2,FALSE)</f>
        <v>Empty</v>
      </c>
    </row>
    <row r="25" spans="1:10" x14ac:dyDescent="0.25">
      <c r="A25" s="10"/>
      <c r="B25" s="5" t="s">
        <v>47</v>
      </c>
      <c r="C25" s="5" t="s">
        <v>47</v>
      </c>
      <c r="D25" s="5" t="str">
        <f>IF(B25=C25,"Y","N")</f>
        <v>Y</v>
      </c>
      <c r="E25" s="19" t="s">
        <v>56</v>
      </c>
      <c r="F25" s="5" t="str">
        <f t="shared" si="0"/>
        <v>N</v>
      </c>
    </row>
    <row r="26" spans="1:10" x14ac:dyDescent="0.25">
      <c r="A26" s="10"/>
      <c r="B26" s="5" t="s">
        <v>48</v>
      </c>
      <c r="C26" s="5" t="s">
        <v>48</v>
      </c>
      <c r="D26" s="5" t="str">
        <f>IF(B26=C26,"Y","N")</f>
        <v>Y</v>
      </c>
      <c r="E26" s="19" t="s">
        <v>58</v>
      </c>
      <c r="F26" s="5" t="str">
        <f t="shared" si="0"/>
        <v>N</v>
      </c>
    </row>
    <row r="27" spans="1:10" x14ac:dyDescent="0.25">
      <c r="A27" s="10"/>
      <c r="B27" s="5" t="s">
        <v>49</v>
      </c>
      <c r="C27" s="5" t="s">
        <v>49</v>
      </c>
      <c r="D27" s="5" t="str">
        <f>IF(B27=C27,"Y","N")</f>
        <v>Y</v>
      </c>
      <c r="E27" s="19" t="s">
        <v>60</v>
      </c>
      <c r="F27" s="5" t="str">
        <f t="shared" si="0"/>
        <v>N</v>
      </c>
    </row>
    <row r="28" spans="1:10" x14ac:dyDescent="0.25">
      <c r="A28" s="10"/>
      <c r="B28" s="5" t="s">
        <v>50</v>
      </c>
      <c r="C28" s="5" t="s">
        <v>50</v>
      </c>
      <c r="D28" s="5" t="str">
        <f>IF(B28=C28,"Y","N")</f>
        <v>Y</v>
      </c>
      <c r="E28" s="19" t="s">
        <v>62</v>
      </c>
      <c r="F28" s="5" t="str">
        <f t="shared" si="0"/>
        <v>N</v>
      </c>
    </row>
    <row r="29" spans="1:10" x14ac:dyDescent="0.25">
      <c r="A29" s="10"/>
      <c r="B29" s="5" t="s">
        <v>51</v>
      </c>
      <c r="C29" s="5" t="s">
        <v>51</v>
      </c>
      <c r="D29" s="5" t="str">
        <f>IF(B29=C29,"Y","N")</f>
        <v>Y</v>
      </c>
      <c r="E29" s="19" t="s">
        <v>64</v>
      </c>
      <c r="F29" s="5" t="str">
        <f t="shared" si="0"/>
        <v>N</v>
      </c>
      <c r="I29"/>
    </row>
    <row r="30" spans="1:10" x14ac:dyDescent="0.25">
      <c r="A30" s="10"/>
      <c r="B30" s="5" t="s">
        <v>53</v>
      </c>
      <c r="C30" s="5" t="s">
        <v>53</v>
      </c>
      <c r="D30" s="5" t="str">
        <f>IF(B30=C30,"Y","N")</f>
        <v>Y</v>
      </c>
      <c r="E30" s="19" t="s">
        <v>66</v>
      </c>
      <c r="F30" s="5" t="str">
        <f t="shared" si="0"/>
        <v>N</v>
      </c>
    </row>
    <row r="31" spans="1:10" x14ac:dyDescent="0.25">
      <c r="A31" s="10"/>
      <c r="B31" s="5" t="s">
        <v>54</v>
      </c>
      <c r="C31" s="5" t="s">
        <v>54</v>
      </c>
      <c r="D31" s="5" t="str">
        <f>IF(B31=C31,"Y","N")</f>
        <v>Y</v>
      </c>
      <c r="E31" s="19" t="s">
        <v>68</v>
      </c>
      <c r="F31" s="5" t="str">
        <f t="shared" si="0"/>
        <v>N</v>
      </c>
    </row>
    <row r="32" spans="1:10" x14ac:dyDescent="0.25">
      <c r="A32" s="10"/>
      <c r="B32" s="5" t="s">
        <v>55</v>
      </c>
      <c r="C32" s="5" t="s">
        <v>55</v>
      </c>
      <c r="D32" s="5" t="str">
        <f>IF(B32=C32,"Y","N")</f>
        <v>Y</v>
      </c>
      <c r="E32" s="19" t="s">
        <v>70</v>
      </c>
      <c r="F32" s="5" t="str">
        <f t="shared" si="0"/>
        <v>N</v>
      </c>
    </row>
    <row r="33" spans="1:9" x14ac:dyDescent="0.25">
      <c r="A33" s="10"/>
      <c r="B33" s="5" t="s">
        <v>57</v>
      </c>
      <c r="C33" s="5" t="s">
        <v>57</v>
      </c>
      <c r="D33" s="5" t="str">
        <f>IF(B33=C33,"Y","N")</f>
        <v>Y</v>
      </c>
      <c r="E33" s="19" t="s">
        <v>72</v>
      </c>
      <c r="F33" s="5" t="str">
        <f t="shared" si="0"/>
        <v>N</v>
      </c>
    </row>
    <row r="34" spans="1:9" x14ac:dyDescent="0.25">
      <c r="A34" s="10"/>
      <c r="B34" s="5" t="s">
        <v>59</v>
      </c>
      <c r="C34" s="5" t="s">
        <v>59</v>
      </c>
      <c r="D34" s="5" t="str">
        <f>IF(B34=C34,"Y","N")</f>
        <v>Y</v>
      </c>
      <c r="E34" s="19" t="s">
        <v>74</v>
      </c>
      <c r="F34" s="5" t="str">
        <f t="shared" si="0"/>
        <v>N</v>
      </c>
    </row>
    <row r="35" spans="1:9" x14ac:dyDescent="0.25">
      <c r="A35" s="10"/>
      <c r="B35" s="5" t="s">
        <v>61</v>
      </c>
      <c r="C35" s="5" t="s">
        <v>61</v>
      </c>
      <c r="D35" s="5" t="str">
        <f>IF(B35=C35,"Y","N")</f>
        <v>Y</v>
      </c>
      <c r="E35" s="19" t="s">
        <v>76</v>
      </c>
      <c r="F35" s="5" t="str">
        <f t="shared" si="0"/>
        <v>N</v>
      </c>
    </row>
    <row r="36" spans="1:9" x14ac:dyDescent="0.25">
      <c r="A36" s="10"/>
      <c r="B36" s="5" t="s">
        <v>63</v>
      </c>
      <c r="C36" s="5" t="s">
        <v>63</v>
      </c>
      <c r="D36" s="5" t="str">
        <f>IF(B36=C36,"Y","N")</f>
        <v>Y</v>
      </c>
      <c r="E36" s="19" t="s">
        <v>78</v>
      </c>
      <c r="F36" s="5" t="str">
        <f t="shared" si="0"/>
        <v>N</v>
      </c>
    </row>
    <row r="37" spans="1:9" x14ac:dyDescent="0.25">
      <c r="A37" s="10"/>
      <c r="B37" s="5" t="s">
        <v>65</v>
      </c>
      <c r="C37" s="5" t="s">
        <v>65</v>
      </c>
      <c r="D37" s="5" t="str">
        <f>IF(B37=C37,"Y","N")</f>
        <v>Y</v>
      </c>
      <c r="E37" s="19" t="s">
        <v>80</v>
      </c>
      <c r="F37" s="5" t="str">
        <f t="shared" si="0"/>
        <v>N</v>
      </c>
    </row>
    <row r="38" spans="1:9" x14ac:dyDescent="0.25">
      <c r="A38" s="10"/>
      <c r="B38" s="5" t="s">
        <v>67</v>
      </c>
      <c r="C38" s="5" t="s">
        <v>67</v>
      </c>
      <c r="D38" s="5" t="str">
        <f>IF(B38=C38,"Y","N")</f>
        <v>Y</v>
      </c>
      <c r="E38" s="19" t="s">
        <v>82</v>
      </c>
      <c r="F38" s="5" t="str">
        <f t="shared" si="0"/>
        <v>N</v>
      </c>
    </row>
    <row r="39" spans="1:9" x14ac:dyDescent="0.25">
      <c r="A39" s="10"/>
      <c r="B39" s="5" t="s">
        <v>69</v>
      </c>
      <c r="C39" s="5" t="s">
        <v>69</v>
      </c>
      <c r="D39" s="5" t="str">
        <f>IF(B39=C39,"Y","N")</f>
        <v>Y</v>
      </c>
      <c r="E39" s="19" t="s">
        <v>84</v>
      </c>
      <c r="F39" s="5" t="str">
        <f t="shared" si="0"/>
        <v>N</v>
      </c>
    </row>
    <row r="40" spans="1:9" x14ac:dyDescent="0.25">
      <c r="A40" s="10"/>
      <c r="B40" s="5" t="s">
        <v>71</v>
      </c>
      <c r="C40" s="5" t="s">
        <v>71</v>
      </c>
      <c r="D40" s="5" t="str">
        <f>IF(B40=C40,"Y","N")</f>
        <v>Y</v>
      </c>
      <c r="E40" s="19" t="s">
        <v>71</v>
      </c>
      <c r="F40" s="5" t="str">
        <f t="shared" si="0"/>
        <v>Y</v>
      </c>
    </row>
    <row r="41" spans="1:9" x14ac:dyDescent="0.25">
      <c r="A41" s="10"/>
      <c r="B41" s="5" t="s">
        <v>73</v>
      </c>
      <c r="C41" s="5" t="s">
        <v>73</v>
      </c>
      <c r="D41" s="5" t="str">
        <f>IF(B41=C41,"Y","N")</f>
        <v>Y</v>
      </c>
      <c r="E41" s="19" t="s">
        <v>73</v>
      </c>
      <c r="F41" s="5" t="str">
        <f t="shared" si="0"/>
        <v>Y</v>
      </c>
    </row>
    <row r="42" spans="1:9" x14ac:dyDescent="0.25">
      <c r="A42" s="10"/>
      <c r="B42" s="5" t="s">
        <v>75</v>
      </c>
      <c r="C42" s="5" t="s">
        <v>75</v>
      </c>
      <c r="D42" s="5" t="str">
        <f>IF(B42=C42,"Y","N")</f>
        <v>Y</v>
      </c>
      <c r="E42" s="19" t="s">
        <v>75</v>
      </c>
      <c r="F42" s="5" t="str">
        <f t="shared" si="0"/>
        <v>Y</v>
      </c>
    </row>
    <row r="43" spans="1:9" x14ac:dyDescent="0.25">
      <c r="A43" s="10"/>
      <c r="B43" s="5" t="s">
        <v>77</v>
      </c>
      <c r="C43" s="5" t="s">
        <v>77</v>
      </c>
      <c r="D43" s="5" t="str">
        <f>IF(B43=C43,"Y","N")</f>
        <v>Y</v>
      </c>
      <c r="E43" s="19" t="s">
        <v>77</v>
      </c>
      <c r="F43" s="5" t="str">
        <f t="shared" si="0"/>
        <v>Y</v>
      </c>
    </row>
    <row r="44" spans="1:9" x14ac:dyDescent="0.25">
      <c r="A44" s="10"/>
      <c r="B44" s="5" t="s">
        <v>79</v>
      </c>
      <c r="C44" s="5" t="s">
        <v>79</v>
      </c>
      <c r="D44" s="5" t="str">
        <f>IF(B44=C44,"Y","N")</f>
        <v>Y</v>
      </c>
      <c r="E44" s="19" t="s">
        <v>79</v>
      </c>
      <c r="F44" s="5" t="str">
        <f t="shared" si="0"/>
        <v>Y</v>
      </c>
    </row>
    <row r="45" spans="1:9" x14ac:dyDescent="0.25">
      <c r="A45" s="10"/>
      <c r="B45" s="5" t="s">
        <v>81</v>
      </c>
      <c r="C45" s="5" t="s">
        <v>81</v>
      </c>
      <c r="D45" s="5" t="str">
        <f>IF(B45=C45,"Y","N")</f>
        <v>Y</v>
      </c>
      <c r="E45" s="19" t="s">
        <v>81</v>
      </c>
      <c r="F45" s="5" t="str">
        <f t="shared" si="0"/>
        <v>Y</v>
      </c>
    </row>
    <row r="46" spans="1:9" x14ac:dyDescent="0.25">
      <c r="A46" s="10"/>
      <c r="B46" s="5" t="s">
        <v>83</v>
      </c>
      <c r="C46" s="5" t="s">
        <v>83</v>
      </c>
      <c r="D46" s="5" t="str">
        <f>IF(B46=C46,"Y","N")</f>
        <v>Y</v>
      </c>
      <c r="E46" s="19" t="s">
        <v>83</v>
      </c>
      <c r="F46" s="5" t="str">
        <f t="shared" si="0"/>
        <v>Y</v>
      </c>
    </row>
    <row r="47" spans="1:9" x14ac:dyDescent="0.25">
      <c r="A47" s="10"/>
      <c r="B47" s="5" t="s">
        <v>85</v>
      </c>
      <c r="C47" s="5" t="s">
        <v>85</v>
      </c>
      <c r="D47" s="5" t="str">
        <f>IF(B47=C47,"Y","N")</f>
        <v>Y</v>
      </c>
      <c r="E47" s="19" t="s">
        <v>85</v>
      </c>
      <c r="F47" s="5" t="str">
        <f t="shared" si="0"/>
        <v>Y</v>
      </c>
    </row>
    <row r="48" spans="1:9" x14ac:dyDescent="0.25">
      <c r="A48" s="10"/>
      <c r="B48" s="5" t="s">
        <v>86</v>
      </c>
      <c r="C48" s="5" t="s">
        <v>86</v>
      </c>
      <c r="D48" s="5" t="str">
        <f>IF(B48=C48,"Y","N")</f>
        <v>Y</v>
      </c>
      <c r="E48" s="19" t="s">
        <v>86</v>
      </c>
      <c r="F48" s="5" t="str">
        <f t="shared" si="0"/>
        <v>Y</v>
      </c>
      <c r="I48"/>
    </row>
    <row r="49" spans="1:9" x14ac:dyDescent="0.25">
      <c r="A49" s="10"/>
      <c r="B49" s="5" t="s">
        <v>88</v>
      </c>
      <c r="C49" s="5" t="s">
        <v>88</v>
      </c>
      <c r="D49" s="5" t="str">
        <f>IF(B49=C49,"Y","N")</f>
        <v>Y</v>
      </c>
      <c r="E49" s="19" t="s">
        <v>88</v>
      </c>
      <c r="F49" s="5" t="str">
        <f t="shared" si="0"/>
        <v>Y</v>
      </c>
    </row>
    <row r="50" spans="1:9" x14ac:dyDescent="0.25">
      <c r="A50" s="10"/>
      <c r="B50" s="5" t="s">
        <v>89</v>
      </c>
      <c r="C50" s="5" t="s">
        <v>89</v>
      </c>
      <c r="D50" s="5" t="str">
        <f>IF(B50=C50,"Y","N")</f>
        <v>Y</v>
      </c>
      <c r="E50" s="19" t="s">
        <v>89</v>
      </c>
      <c r="F50" s="5" t="str">
        <f t="shared" si="0"/>
        <v>Y</v>
      </c>
    </row>
    <row r="51" spans="1:9" x14ac:dyDescent="0.25">
      <c r="A51" s="10"/>
      <c r="B51" s="5" t="s">
        <v>90</v>
      </c>
      <c r="C51" s="5" t="s">
        <v>90</v>
      </c>
      <c r="D51" s="5" t="str">
        <f>IF(B51=C51,"Y","N")</f>
        <v>Y</v>
      </c>
      <c r="E51" s="19" t="s">
        <v>90</v>
      </c>
      <c r="F51" s="5" t="str">
        <f t="shared" si="0"/>
        <v>Y</v>
      </c>
    </row>
    <row r="52" spans="1:9" x14ac:dyDescent="0.25">
      <c r="A52" s="10"/>
      <c r="B52" s="5" t="s">
        <v>91</v>
      </c>
      <c r="C52" s="5" t="s">
        <v>91</v>
      </c>
      <c r="D52" s="5" t="str">
        <f>IF(B52=C52,"Y","N")</f>
        <v>Y</v>
      </c>
      <c r="E52" s="19" t="s">
        <v>91</v>
      </c>
      <c r="F52" s="5" t="str">
        <f t="shared" si="0"/>
        <v>Y</v>
      </c>
    </row>
    <row r="53" spans="1:9" x14ac:dyDescent="0.25">
      <c r="A53" s="10"/>
      <c r="B53" s="5" t="s">
        <v>92</v>
      </c>
      <c r="C53" s="5" t="s">
        <v>92</v>
      </c>
      <c r="D53" s="5" t="str">
        <f>IF(B53=C53,"Y","N")</f>
        <v>Y</v>
      </c>
      <c r="E53" s="19" t="s">
        <v>92</v>
      </c>
      <c r="F53" s="5" t="str">
        <f t="shared" si="0"/>
        <v>Y</v>
      </c>
    </row>
    <row r="54" spans="1:9" x14ac:dyDescent="0.25">
      <c r="A54" s="10"/>
      <c r="B54" s="5" t="s">
        <v>93</v>
      </c>
      <c r="C54" s="5" t="s">
        <v>93</v>
      </c>
      <c r="D54" s="5" t="str">
        <f>IF(B54=C54,"Y","N")</f>
        <v>Y</v>
      </c>
      <c r="E54" s="19" t="s">
        <v>93</v>
      </c>
      <c r="F54" s="5" t="str">
        <f t="shared" si="0"/>
        <v>Y</v>
      </c>
      <c r="I54"/>
    </row>
    <row r="55" spans="1:9" x14ac:dyDescent="0.25">
      <c r="A55" s="10"/>
      <c r="B55" s="5" t="s">
        <v>95</v>
      </c>
      <c r="C55" s="5" t="s">
        <v>95</v>
      </c>
      <c r="D55" s="5" t="str">
        <f>IF(B55=C55,"Y","N")</f>
        <v>Y</v>
      </c>
      <c r="E55" s="19" t="s">
        <v>95</v>
      </c>
      <c r="F55" s="5" t="str">
        <f t="shared" si="0"/>
        <v>Y</v>
      </c>
    </row>
    <row r="56" spans="1:9" x14ac:dyDescent="0.25">
      <c r="A56" s="10"/>
      <c r="B56" s="5" t="s">
        <v>96</v>
      </c>
      <c r="C56" s="5" t="s">
        <v>96</v>
      </c>
      <c r="D56" s="5" t="str">
        <f>IF(B56=C56,"Y","N")</f>
        <v>Y</v>
      </c>
      <c r="E56" s="19" t="s">
        <v>96</v>
      </c>
      <c r="F56" s="5" t="str">
        <f t="shared" si="0"/>
        <v>Y</v>
      </c>
    </row>
    <row r="57" spans="1:9" x14ac:dyDescent="0.25">
      <c r="A57" s="10"/>
      <c r="B57" s="5" t="s">
        <v>97</v>
      </c>
      <c r="C57" s="5" t="s">
        <v>97</v>
      </c>
      <c r="D57" s="5" t="str">
        <f>IF(B57=C57,"Y","N")</f>
        <v>Y</v>
      </c>
      <c r="E57" s="19" t="s">
        <v>97</v>
      </c>
      <c r="F57" s="5" t="str">
        <f t="shared" si="0"/>
        <v>Y</v>
      </c>
    </row>
    <row r="58" spans="1:9" x14ac:dyDescent="0.25">
      <c r="A58" s="10"/>
      <c r="B58" s="5" t="s">
        <v>98</v>
      </c>
      <c r="C58" s="5" t="s">
        <v>98</v>
      </c>
      <c r="D58" s="5" t="str">
        <f>IF(B58=C58,"Y","N")</f>
        <v>Y</v>
      </c>
      <c r="E58" s="19" t="s">
        <v>98</v>
      </c>
      <c r="F58" s="5" t="str">
        <f t="shared" si="0"/>
        <v>Y</v>
      </c>
      <c r="I58"/>
    </row>
    <row r="59" spans="1:9" x14ac:dyDescent="0.25">
      <c r="A59" s="10"/>
      <c r="B59" s="5" t="s">
        <v>100</v>
      </c>
      <c r="C59" s="5" t="s">
        <v>100</v>
      </c>
      <c r="D59" s="5" t="str">
        <f>IF(B59=C59,"Y","N")</f>
        <v>Y</v>
      </c>
      <c r="E59" s="19" t="s">
        <v>100</v>
      </c>
      <c r="F59" s="5" t="str">
        <f t="shared" si="0"/>
        <v>Y</v>
      </c>
    </row>
    <row r="60" spans="1:9" x14ac:dyDescent="0.25">
      <c r="A60" s="10"/>
      <c r="B60" s="5" t="s">
        <v>101</v>
      </c>
      <c r="C60" s="5" t="s">
        <v>101</v>
      </c>
      <c r="D60" s="5" t="str">
        <f>IF(B60=C60,"Y","N")</f>
        <v>Y</v>
      </c>
      <c r="E60" s="19" t="s">
        <v>101</v>
      </c>
      <c r="F60" s="5" t="str">
        <f t="shared" si="0"/>
        <v>Y</v>
      </c>
    </row>
    <row r="61" spans="1:9" x14ac:dyDescent="0.25">
      <c r="A61" s="10"/>
      <c r="B61" s="5" t="s">
        <v>102</v>
      </c>
      <c r="C61" s="5" t="s">
        <v>102</v>
      </c>
      <c r="D61" s="5" t="str">
        <f>IF(B61=C61,"Y","N")</f>
        <v>Y</v>
      </c>
      <c r="E61" s="19" t="s">
        <v>102</v>
      </c>
      <c r="F61" s="5" t="str">
        <f t="shared" si="0"/>
        <v>Y</v>
      </c>
    </row>
    <row r="62" spans="1:9" x14ac:dyDescent="0.25">
      <c r="A62" s="10"/>
      <c r="B62" s="5" t="s">
        <v>103</v>
      </c>
      <c r="C62" s="5" t="s">
        <v>103</v>
      </c>
      <c r="D62" s="5" t="str">
        <f>IF(B62=C62,"Y","N")</f>
        <v>Y</v>
      </c>
      <c r="E62" s="19" t="s">
        <v>103</v>
      </c>
      <c r="F62" s="5" t="str">
        <f t="shared" si="0"/>
        <v>Y</v>
      </c>
      <c r="I62"/>
    </row>
    <row r="63" spans="1:9" x14ac:dyDescent="0.25">
      <c r="A63" s="10"/>
      <c r="B63" s="5" t="s">
        <v>105</v>
      </c>
      <c r="C63" s="5" t="s">
        <v>105</v>
      </c>
      <c r="D63" s="5" t="str">
        <f>IF(B63=C63,"Y","N")</f>
        <v>Y</v>
      </c>
      <c r="E63" s="19" t="s">
        <v>105</v>
      </c>
      <c r="F63" s="5" t="str">
        <f t="shared" si="0"/>
        <v>Y</v>
      </c>
    </row>
    <row r="64" spans="1:9" x14ac:dyDescent="0.25">
      <c r="A64" s="10"/>
      <c r="B64" s="5" t="s">
        <v>106</v>
      </c>
      <c r="C64" s="5" t="s">
        <v>106</v>
      </c>
      <c r="D64" s="5" t="str">
        <f>IF(B64=C64,"Y","N")</f>
        <v>Y</v>
      </c>
      <c r="E64" s="19" t="s">
        <v>106</v>
      </c>
      <c r="F64" s="5" t="str">
        <f t="shared" si="0"/>
        <v>Y</v>
      </c>
      <c r="I64"/>
    </row>
    <row r="65" spans="1:9" x14ac:dyDescent="0.25">
      <c r="A65" s="10"/>
      <c r="B65" s="5" t="s">
        <v>110</v>
      </c>
      <c r="C65" s="5" t="s">
        <v>110</v>
      </c>
      <c r="D65" s="5" t="str">
        <f>IF(B65=C65,"Y","N")</f>
        <v>Y</v>
      </c>
      <c r="E65" s="19" t="s">
        <v>110</v>
      </c>
      <c r="F65" s="5" t="str">
        <f t="shared" si="0"/>
        <v>Y</v>
      </c>
      <c r="I65"/>
    </row>
    <row r="66" spans="1:9" x14ac:dyDescent="0.25">
      <c r="A66" s="10"/>
      <c r="B66" s="5" t="s">
        <v>111</v>
      </c>
      <c r="C66" s="5" t="s">
        <v>111</v>
      </c>
      <c r="D66" s="5" t="str">
        <f>IF(B66=C66,"Y","N")</f>
        <v>Y</v>
      </c>
      <c r="E66" s="19" t="s">
        <v>121</v>
      </c>
      <c r="F66" s="5" t="str">
        <f t="shared" si="0"/>
        <v>N</v>
      </c>
    </row>
    <row r="67" spans="1:9" x14ac:dyDescent="0.25">
      <c r="A67" s="10"/>
      <c r="B67" s="5" t="s">
        <v>112</v>
      </c>
      <c r="C67" s="5" t="s">
        <v>112</v>
      </c>
      <c r="D67" s="5" t="str">
        <f>IF(B67=C67,"Y","N")</f>
        <v>Y</v>
      </c>
      <c r="E67" s="19" t="s">
        <v>122</v>
      </c>
      <c r="F67" s="5" t="str">
        <f t="shared" si="0"/>
        <v>N</v>
      </c>
    </row>
  </sheetData>
  <autoFilter ref="A2:J67" xr:uid="{00000000-0001-0000-1400-000000000000}"/>
  <conditionalFormatting sqref="E1 D47 D48:E51 D2:E46 D52:D54 E52 D55:E1048576">
    <cfRule type="cellIs" dxfId="14" priority="3" operator="equal">
      <formula>"N"</formula>
    </cfRule>
  </conditionalFormatting>
  <conditionalFormatting sqref="G23">
    <cfRule type="cellIs" dxfId="13" priority="2" operator="equal">
      <formula>"N"</formula>
    </cfRule>
  </conditionalFormatting>
  <conditionalFormatting sqref="F3:F67">
    <cfRule type="cellIs" dxfId="12" priority="1" operator="equal">
      <formula>"N"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9" sqref="G9"/>
    </sheetView>
  </sheetViews>
  <sheetFormatPr defaultRowHeight="15" x14ac:dyDescent="0.25"/>
  <cols>
    <col min="1" max="1" width="14.7109375" style="1" customWidth="1"/>
    <col min="2" max="3" width="22.28515625" style="1" bestFit="1" customWidth="1"/>
    <col min="4" max="4" width="9.140625" style="1"/>
    <col min="5" max="5" width="22.28515625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22.28515625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7" t="s">
        <v>1</v>
      </c>
    </row>
    <row r="2" spans="1:10" x14ac:dyDescent="0.25">
      <c r="A2" s="3" t="s">
        <v>333</v>
      </c>
      <c r="B2" s="12" t="s">
        <v>229</v>
      </c>
      <c r="C2" s="12" t="s">
        <v>231</v>
      </c>
      <c r="D2" s="5" t="s">
        <v>336</v>
      </c>
      <c r="E2" s="12" t="s">
        <v>230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232</v>
      </c>
      <c r="C3" s="5" t="s">
        <v>232</v>
      </c>
      <c r="D3" s="5" t="str">
        <f>IF(B3=C3,"Y","N")</f>
        <v>Y</v>
      </c>
      <c r="E3" s="19" t="s">
        <v>232</v>
      </c>
      <c r="F3" s="5" t="str">
        <f>IF(C3=E3,"Y","N")</f>
        <v>Y</v>
      </c>
      <c r="H3" s="5">
        <v>1</v>
      </c>
      <c r="I3" s="5"/>
      <c r="J3" s="5" t="e">
        <f>VLOOKUP(E3,'01-Capacitors'!I:J,2,FALSE)</f>
        <v>#N/A</v>
      </c>
    </row>
    <row r="4" spans="1:10" x14ac:dyDescent="0.25">
      <c r="A4" s="10"/>
      <c r="B4" s="5" t="s">
        <v>233</v>
      </c>
      <c r="C4" s="5" t="s">
        <v>233</v>
      </c>
      <c r="D4" s="5" t="str">
        <f>IF(B4=C4,"Y","N")</f>
        <v>Y</v>
      </c>
      <c r="E4" s="19" t="s">
        <v>233</v>
      </c>
      <c r="F4" s="5" t="str">
        <f t="shared" ref="F4:F19" si="0">IF(C4=E4,"Y","N")</f>
        <v>Y</v>
      </c>
      <c r="H4" s="5">
        <v>2</v>
      </c>
      <c r="I4" s="5"/>
      <c r="J4" s="5"/>
    </row>
    <row r="5" spans="1:10" x14ac:dyDescent="0.25">
      <c r="A5" s="10"/>
      <c r="B5" s="5" t="s">
        <v>36</v>
      </c>
      <c r="C5" s="5" t="s">
        <v>36</v>
      </c>
      <c r="D5" s="5" t="str">
        <f>IF(B5=C5,"Y","N")</f>
        <v>Y</v>
      </c>
      <c r="E5" s="19" t="s">
        <v>36</v>
      </c>
      <c r="F5" s="5" t="str">
        <f t="shared" si="0"/>
        <v>Y</v>
      </c>
      <c r="H5" s="5">
        <v>3</v>
      </c>
      <c r="I5" s="5"/>
      <c r="J5" s="5"/>
    </row>
    <row r="6" spans="1:10" x14ac:dyDescent="0.25">
      <c r="A6" s="10"/>
      <c r="B6" s="5" t="s">
        <v>38</v>
      </c>
      <c r="C6" s="5" t="s">
        <v>38</v>
      </c>
      <c r="D6" s="5" t="str">
        <f>IF(B6=C6,"Y","N")</f>
        <v>Y</v>
      </c>
      <c r="E6" s="19" t="s">
        <v>38</v>
      </c>
      <c r="F6" s="5" t="str">
        <f t="shared" si="0"/>
        <v>Y</v>
      </c>
      <c r="H6" s="5">
        <v>4</v>
      </c>
      <c r="I6" s="5"/>
      <c r="J6" s="5"/>
    </row>
    <row r="7" spans="1:10" x14ac:dyDescent="0.25">
      <c r="A7" s="10"/>
      <c r="B7" s="5" t="s">
        <v>234</v>
      </c>
      <c r="C7" s="5" t="s">
        <v>234</v>
      </c>
      <c r="D7" s="5" t="str">
        <f>IF(B7=C7,"Y","N")</f>
        <v>Y</v>
      </c>
      <c r="E7" s="19" t="s">
        <v>234</v>
      </c>
      <c r="F7" s="5" t="str">
        <f t="shared" si="0"/>
        <v>Y</v>
      </c>
      <c r="H7" s="5">
        <v>5</v>
      </c>
      <c r="I7" s="5"/>
      <c r="J7" s="5"/>
    </row>
    <row r="8" spans="1:10" x14ac:dyDescent="0.25">
      <c r="A8" s="10"/>
      <c r="B8" s="5" t="s">
        <v>45</v>
      </c>
      <c r="C8" s="5" t="s">
        <v>45</v>
      </c>
      <c r="D8" s="5" t="str">
        <f>IF(B8=C8,"Y","N")</f>
        <v>Y</v>
      </c>
      <c r="E8" s="6"/>
      <c r="F8" s="5" t="str">
        <f t="shared" si="0"/>
        <v>N</v>
      </c>
      <c r="G8" s="14" t="s">
        <v>341</v>
      </c>
      <c r="H8" s="5">
        <v>6</v>
      </c>
      <c r="I8" s="5"/>
      <c r="J8" s="5"/>
    </row>
    <row r="9" spans="1:10" x14ac:dyDescent="0.25">
      <c r="A9" s="10"/>
      <c r="B9" s="5" t="s">
        <v>46</v>
      </c>
      <c r="C9" s="5" t="s">
        <v>46</v>
      </c>
      <c r="D9" s="5" t="str">
        <f>IF(B9=C9,"Y","N")</f>
        <v>Y</v>
      </c>
      <c r="E9" s="6"/>
      <c r="F9" s="5" t="str">
        <f t="shared" si="0"/>
        <v>N</v>
      </c>
      <c r="G9" s="1" t="s">
        <v>353</v>
      </c>
      <c r="H9" s="5">
        <v>7</v>
      </c>
      <c r="I9" s="5"/>
      <c r="J9" s="5"/>
    </row>
    <row r="10" spans="1:10" x14ac:dyDescent="0.25">
      <c r="A10" s="10"/>
      <c r="B10" s="5" t="s">
        <v>83</v>
      </c>
      <c r="C10" s="5" t="s">
        <v>83</v>
      </c>
      <c r="D10" s="5" t="str">
        <f>IF(B10=C10,"Y","N")</f>
        <v>Y</v>
      </c>
      <c r="E10" s="19" t="s">
        <v>83</v>
      </c>
      <c r="F10" s="5" t="str">
        <f t="shared" si="0"/>
        <v>Y</v>
      </c>
      <c r="H10" s="5">
        <v>8</v>
      </c>
      <c r="I10" s="5"/>
      <c r="J10" s="5"/>
    </row>
    <row r="11" spans="1:10" x14ac:dyDescent="0.25">
      <c r="A11" s="10"/>
      <c r="B11" s="5" t="s">
        <v>85</v>
      </c>
      <c r="C11" s="5" t="s">
        <v>85</v>
      </c>
      <c r="D11" s="5" t="str">
        <f>IF(B11=C11,"Y","N")</f>
        <v>Y</v>
      </c>
      <c r="E11" s="19" t="s">
        <v>85</v>
      </c>
      <c r="F11" s="5" t="str">
        <f t="shared" si="0"/>
        <v>Y</v>
      </c>
      <c r="H11" s="5">
        <v>9</v>
      </c>
      <c r="I11" s="5"/>
      <c r="J11" s="5"/>
    </row>
    <row r="12" spans="1:10" x14ac:dyDescent="0.25">
      <c r="A12" s="10"/>
      <c r="B12" s="5" t="s">
        <v>86</v>
      </c>
      <c r="C12" s="5" t="s">
        <v>86</v>
      </c>
      <c r="D12" s="5" t="str">
        <f>IF(B12=C12,"Y","N")</f>
        <v>Y</v>
      </c>
      <c r="E12" s="19" t="s">
        <v>86</v>
      </c>
      <c r="F12" s="5" t="str">
        <f t="shared" si="0"/>
        <v>Y</v>
      </c>
      <c r="H12" s="5">
        <v>10</v>
      </c>
      <c r="I12" s="5"/>
      <c r="J12" s="5"/>
    </row>
    <row r="13" spans="1:10" x14ac:dyDescent="0.25">
      <c r="A13" s="10"/>
      <c r="B13" s="5" t="s">
        <v>90</v>
      </c>
      <c r="C13" s="5" t="s">
        <v>90</v>
      </c>
      <c r="D13" s="5" t="str">
        <f>IF(B13=C13,"Y","N")</f>
        <v>Y</v>
      </c>
      <c r="E13" s="19" t="s">
        <v>90</v>
      </c>
      <c r="F13" s="5" t="str">
        <f t="shared" si="0"/>
        <v>Y</v>
      </c>
      <c r="H13" s="5">
        <v>11</v>
      </c>
      <c r="I13" s="5"/>
      <c r="J13" s="5"/>
    </row>
    <row r="14" spans="1:10" x14ac:dyDescent="0.25">
      <c r="A14" s="10"/>
      <c r="B14" s="5" t="s">
        <v>95</v>
      </c>
      <c r="C14" s="5" t="s">
        <v>95</v>
      </c>
      <c r="D14" s="5" t="str">
        <f>IF(B14=C14,"Y","N")</f>
        <v>Y</v>
      </c>
      <c r="E14" s="19" t="s">
        <v>95</v>
      </c>
      <c r="F14" s="5" t="str">
        <f t="shared" si="0"/>
        <v>Y</v>
      </c>
      <c r="H14" s="5">
        <v>12</v>
      </c>
      <c r="I14" s="5"/>
      <c r="J14" s="5"/>
    </row>
    <row r="15" spans="1:10" x14ac:dyDescent="0.25">
      <c r="A15" s="10"/>
      <c r="B15" s="5" t="s">
        <v>96</v>
      </c>
      <c r="C15" s="5" t="s">
        <v>96</v>
      </c>
      <c r="D15" s="5" t="str">
        <f>IF(B15=C15,"Y","N")</f>
        <v>Y</v>
      </c>
      <c r="E15" s="19" t="s">
        <v>96</v>
      </c>
      <c r="F15" s="5" t="str">
        <f t="shared" si="0"/>
        <v>Y</v>
      </c>
      <c r="H15" s="5">
        <v>13</v>
      </c>
      <c r="I15" s="5"/>
      <c r="J15" s="5"/>
    </row>
    <row r="16" spans="1:10" x14ac:dyDescent="0.25">
      <c r="A16" s="10"/>
      <c r="B16" s="5" t="s">
        <v>97</v>
      </c>
      <c r="C16" s="5" t="s">
        <v>97</v>
      </c>
      <c r="D16" s="5" t="str">
        <f>IF(B16=C16,"Y","N")</f>
        <v>Y</v>
      </c>
      <c r="E16" s="19" t="s">
        <v>97</v>
      </c>
      <c r="F16" s="5" t="str">
        <f t="shared" si="0"/>
        <v>Y</v>
      </c>
      <c r="H16" s="5">
        <v>14</v>
      </c>
      <c r="I16" s="5"/>
      <c r="J16" s="5"/>
    </row>
    <row r="17" spans="1:10" x14ac:dyDescent="0.25">
      <c r="A17" s="10"/>
      <c r="B17" s="5" t="s">
        <v>100</v>
      </c>
      <c r="C17" s="5" t="s">
        <v>100</v>
      </c>
      <c r="D17" s="5" t="str">
        <f>IF(B17=C17,"Y","N")</f>
        <v>Y</v>
      </c>
      <c r="E17" s="19" t="s">
        <v>100</v>
      </c>
      <c r="F17" s="5" t="str">
        <f t="shared" si="0"/>
        <v>Y</v>
      </c>
      <c r="H17" s="5">
        <v>15</v>
      </c>
      <c r="I17" s="5"/>
      <c r="J17" s="5"/>
    </row>
    <row r="18" spans="1:10" x14ac:dyDescent="0.25">
      <c r="A18" s="10"/>
      <c r="B18" s="5" t="s">
        <v>105</v>
      </c>
      <c r="C18" s="5" t="s">
        <v>105</v>
      </c>
      <c r="D18" s="5" t="str">
        <f>IF(B18=C18,"Y","N")</f>
        <v>Y</v>
      </c>
      <c r="E18" s="19" t="s">
        <v>105</v>
      </c>
      <c r="F18" s="5" t="str">
        <f t="shared" si="0"/>
        <v>Y</v>
      </c>
      <c r="H18" s="5">
        <v>16</v>
      </c>
      <c r="I18" s="5"/>
      <c r="J18" s="5"/>
    </row>
    <row r="19" spans="1:10" x14ac:dyDescent="0.25">
      <c r="A19" s="10"/>
      <c r="B19" s="5" t="s">
        <v>112</v>
      </c>
      <c r="C19" s="5" t="s">
        <v>112</v>
      </c>
      <c r="D19" s="5" t="str">
        <f>IF(B19=C19,"Y","N")</f>
        <v>Y</v>
      </c>
      <c r="E19" s="19" t="s">
        <v>122</v>
      </c>
      <c r="F19" s="5" t="str">
        <f t="shared" si="0"/>
        <v>N</v>
      </c>
      <c r="H19" s="5">
        <v>17</v>
      </c>
      <c r="I19" s="5"/>
      <c r="J19" s="5"/>
    </row>
  </sheetData>
  <autoFilter ref="A2:J2" xr:uid="{00000000-0001-0000-1500-000000000000}"/>
  <conditionalFormatting sqref="E1 D2:E1048576">
    <cfRule type="cellIs" dxfId="11" priority="3" operator="equal">
      <formula>"N"</formula>
    </cfRule>
  </conditionalFormatting>
  <conditionalFormatting sqref="G8">
    <cfRule type="cellIs" dxfId="10" priority="2" operator="equal">
      <formula>"N"</formula>
    </cfRule>
  </conditionalFormatting>
  <conditionalFormatting sqref="F3:F19">
    <cfRule type="cellIs" dxfId="9" priority="1" operator="equal">
      <formula>"N"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0" sqref="G20"/>
    </sheetView>
  </sheetViews>
  <sheetFormatPr defaultRowHeight="15" x14ac:dyDescent="0.25"/>
  <cols>
    <col min="1" max="1" width="14.7109375" style="1" customWidth="1"/>
    <col min="2" max="2" width="18.140625" style="1" bestFit="1" customWidth="1"/>
    <col min="3" max="3" width="21" style="1" bestFit="1" customWidth="1"/>
    <col min="4" max="4" width="9.140625" style="1"/>
    <col min="5" max="5" width="16.7109375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15.140625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235</v>
      </c>
      <c r="C2" s="12" t="s">
        <v>237</v>
      </c>
      <c r="D2" s="5" t="s">
        <v>336</v>
      </c>
      <c r="E2" s="12" t="s">
        <v>236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36</v>
      </c>
      <c r="C3" s="5" t="s">
        <v>36</v>
      </c>
      <c r="D3" s="5" t="str">
        <f>IF(B3=C3,"Y","N")</f>
        <v>Y</v>
      </c>
      <c r="E3" s="19" t="s">
        <v>36</v>
      </c>
      <c r="F3" s="5" t="str">
        <f>IF(C3=E3,"Y","N")</f>
        <v>Y</v>
      </c>
      <c r="H3" s="5">
        <v>1</v>
      </c>
      <c r="I3" s="5"/>
      <c r="J3" s="5" t="e">
        <f>VLOOKUP(E3,'01-Capacitors'!I:J,2,FALSE)</f>
        <v>#N/A</v>
      </c>
    </row>
    <row r="4" spans="1:10" x14ac:dyDescent="0.25">
      <c r="A4" s="10"/>
      <c r="B4" s="5" t="s">
        <v>38</v>
      </c>
      <c r="C4" s="5" t="s">
        <v>38</v>
      </c>
      <c r="D4" s="5" t="str">
        <f>IF(B4=C4,"Y","N")</f>
        <v>Y</v>
      </c>
      <c r="E4" s="19" t="s">
        <v>38</v>
      </c>
      <c r="F4" s="5" t="str">
        <f t="shared" ref="F4:F16" si="0">IF(C4=E4,"Y","N")</f>
        <v>Y</v>
      </c>
      <c r="H4" s="5">
        <v>2</v>
      </c>
      <c r="I4" s="5"/>
      <c r="J4" s="5"/>
    </row>
    <row r="5" spans="1:10" x14ac:dyDescent="0.25">
      <c r="A5" s="10"/>
      <c r="B5" s="5" t="s">
        <v>45</v>
      </c>
      <c r="C5" s="5" t="s">
        <v>45</v>
      </c>
      <c r="D5" s="5" t="str">
        <f>IF(B5=C5,"Y","N")</f>
        <v>Y</v>
      </c>
      <c r="E5" s="6"/>
      <c r="F5" s="5" t="str">
        <f t="shared" si="0"/>
        <v>N</v>
      </c>
      <c r="G5" s="14" t="s">
        <v>341</v>
      </c>
      <c r="H5" s="5">
        <v>3</v>
      </c>
      <c r="I5" s="5"/>
      <c r="J5" s="5"/>
    </row>
    <row r="6" spans="1:10" x14ac:dyDescent="0.25">
      <c r="A6" s="10"/>
      <c r="B6" s="5" t="s">
        <v>46</v>
      </c>
      <c r="C6" s="5" t="s">
        <v>46</v>
      </c>
      <c r="D6" s="5" t="str">
        <f>IF(B6=C6,"Y","N")</f>
        <v>Y</v>
      </c>
      <c r="E6" s="6"/>
      <c r="F6" s="5" t="str">
        <f t="shared" si="0"/>
        <v>N</v>
      </c>
      <c r="G6" s="1" t="s">
        <v>353</v>
      </c>
      <c r="H6" s="5">
        <v>4</v>
      </c>
      <c r="I6" s="5"/>
      <c r="J6" s="5"/>
    </row>
    <row r="7" spans="1:10" x14ac:dyDescent="0.25">
      <c r="A7" s="10"/>
      <c r="B7" s="5" t="s">
        <v>83</v>
      </c>
      <c r="C7" s="5" t="s">
        <v>83</v>
      </c>
      <c r="D7" s="5" t="str">
        <f>IF(B7=C7,"Y","N")</f>
        <v>Y</v>
      </c>
      <c r="E7" s="19" t="s">
        <v>83</v>
      </c>
      <c r="F7" s="5" t="str">
        <f t="shared" si="0"/>
        <v>Y</v>
      </c>
      <c r="H7" s="5">
        <v>5</v>
      </c>
      <c r="I7" s="5"/>
      <c r="J7" s="5"/>
    </row>
    <row r="8" spans="1:10" x14ac:dyDescent="0.25">
      <c r="A8" s="10"/>
      <c r="B8" s="5" t="s">
        <v>85</v>
      </c>
      <c r="C8" s="5" t="s">
        <v>85</v>
      </c>
      <c r="D8" s="5" t="str">
        <f>IF(B8=C8,"Y","N")</f>
        <v>Y</v>
      </c>
      <c r="E8" s="19" t="s">
        <v>85</v>
      </c>
      <c r="F8" s="5" t="str">
        <f t="shared" si="0"/>
        <v>Y</v>
      </c>
      <c r="H8" s="5">
        <v>6</v>
      </c>
      <c r="I8" s="5"/>
      <c r="J8" s="5"/>
    </row>
    <row r="9" spans="1:10" x14ac:dyDescent="0.25">
      <c r="A9" s="10"/>
      <c r="B9" s="5" t="s">
        <v>86</v>
      </c>
      <c r="C9" s="5" t="s">
        <v>86</v>
      </c>
      <c r="D9" s="5" t="str">
        <f>IF(B9=C9,"Y","N")</f>
        <v>Y</v>
      </c>
      <c r="E9" s="19" t="s">
        <v>86</v>
      </c>
      <c r="F9" s="5" t="str">
        <f t="shared" si="0"/>
        <v>Y</v>
      </c>
      <c r="H9" s="5">
        <v>7</v>
      </c>
      <c r="I9" s="5"/>
      <c r="J9" s="5"/>
    </row>
    <row r="10" spans="1:10" x14ac:dyDescent="0.25">
      <c r="A10" s="10"/>
      <c r="B10" s="5" t="s">
        <v>90</v>
      </c>
      <c r="C10" s="5" t="s">
        <v>90</v>
      </c>
      <c r="D10" s="5" t="str">
        <f>IF(B10=C10,"Y","N")</f>
        <v>Y</v>
      </c>
      <c r="E10" s="19" t="s">
        <v>90</v>
      </c>
      <c r="F10" s="5" t="str">
        <f t="shared" si="0"/>
        <v>Y</v>
      </c>
      <c r="H10" s="5">
        <v>8</v>
      </c>
      <c r="I10" s="5"/>
      <c r="J10" s="5"/>
    </row>
    <row r="11" spans="1:10" x14ac:dyDescent="0.25">
      <c r="A11" s="10"/>
      <c r="B11" s="5" t="s">
        <v>95</v>
      </c>
      <c r="C11" s="5" t="s">
        <v>95</v>
      </c>
      <c r="D11" s="5" t="str">
        <f>IF(B11=C11,"Y","N")</f>
        <v>Y</v>
      </c>
      <c r="E11" s="19" t="s">
        <v>95</v>
      </c>
      <c r="F11" s="5" t="str">
        <f t="shared" si="0"/>
        <v>Y</v>
      </c>
      <c r="H11" s="5">
        <v>9</v>
      </c>
      <c r="I11" s="5"/>
      <c r="J11" s="5"/>
    </row>
    <row r="12" spans="1:10" x14ac:dyDescent="0.25">
      <c r="A12" s="10"/>
      <c r="B12" s="5" t="s">
        <v>96</v>
      </c>
      <c r="C12" s="5" t="s">
        <v>96</v>
      </c>
      <c r="D12" s="5" t="str">
        <f>IF(B12=C12,"Y","N")</f>
        <v>Y</v>
      </c>
      <c r="E12" s="19" t="s">
        <v>96</v>
      </c>
      <c r="F12" s="5" t="str">
        <f t="shared" si="0"/>
        <v>Y</v>
      </c>
      <c r="H12" s="5">
        <v>10</v>
      </c>
      <c r="I12" s="5"/>
      <c r="J12" s="5"/>
    </row>
    <row r="13" spans="1:10" x14ac:dyDescent="0.25">
      <c r="A13" s="10"/>
      <c r="B13" s="5" t="s">
        <v>97</v>
      </c>
      <c r="C13" s="5" t="s">
        <v>97</v>
      </c>
      <c r="D13" s="5" t="str">
        <f>IF(B13=C13,"Y","N")</f>
        <v>Y</v>
      </c>
      <c r="E13" s="19" t="s">
        <v>97</v>
      </c>
      <c r="F13" s="5" t="str">
        <f t="shared" si="0"/>
        <v>Y</v>
      </c>
      <c r="H13" s="5">
        <v>11</v>
      </c>
      <c r="I13" s="5"/>
      <c r="J13" s="5"/>
    </row>
    <row r="14" spans="1:10" x14ac:dyDescent="0.25">
      <c r="A14" s="10"/>
      <c r="B14" s="5" t="s">
        <v>100</v>
      </c>
      <c r="C14" s="5" t="s">
        <v>100</v>
      </c>
      <c r="D14" s="5" t="str">
        <f>IF(B14=C14,"Y","N")</f>
        <v>Y</v>
      </c>
      <c r="E14" s="19" t="s">
        <v>100</v>
      </c>
      <c r="F14" s="5" t="str">
        <f t="shared" si="0"/>
        <v>Y</v>
      </c>
      <c r="H14" s="5">
        <v>12</v>
      </c>
      <c r="I14" s="5"/>
      <c r="J14" s="5"/>
    </row>
    <row r="15" spans="1:10" x14ac:dyDescent="0.25">
      <c r="A15" s="10"/>
      <c r="B15" s="5" t="s">
        <v>105</v>
      </c>
      <c r="C15" s="5" t="s">
        <v>105</v>
      </c>
      <c r="D15" s="5" t="str">
        <f>IF(B15=C15,"Y","N")</f>
        <v>Y</v>
      </c>
      <c r="E15" s="19" t="s">
        <v>105</v>
      </c>
      <c r="F15" s="5" t="str">
        <f t="shared" si="0"/>
        <v>Y</v>
      </c>
      <c r="H15" s="5">
        <v>13</v>
      </c>
      <c r="I15" s="5"/>
      <c r="J15" s="5"/>
    </row>
    <row r="16" spans="1:10" x14ac:dyDescent="0.25">
      <c r="A16" s="10"/>
      <c r="B16" s="5" t="s">
        <v>112</v>
      </c>
      <c r="C16" s="5" t="s">
        <v>112</v>
      </c>
      <c r="D16" s="5" t="str">
        <f>IF(B16=C16,"Y","N")</f>
        <v>Y</v>
      </c>
      <c r="E16" s="19" t="s">
        <v>122</v>
      </c>
      <c r="F16" s="5" t="str">
        <f t="shared" si="0"/>
        <v>N</v>
      </c>
      <c r="H16" s="5">
        <v>14</v>
      </c>
      <c r="I16" s="5"/>
      <c r="J16" s="5"/>
    </row>
  </sheetData>
  <autoFilter ref="A2:J2" xr:uid="{00000000-0001-0000-1600-000000000000}"/>
  <conditionalFormatting sqref="E1 D2:E1048576">
    <cfRule type="cellIs" dxfId="8" priority="3" operator="equal">
      <formula>"N"</formula>
    </cfRule>
  </conditionalFormatting>
  <conditionalFormatting sqref="G5">
    <cfRule type="cellIs" dxfId="7" priority="2" operator="equal">
      <formula>"N"</formula>
    </cfRule>
  </conditionalFormatting>
  <conditionalFormatting sqref="F3:F16">
    <cfRule type="cellIs" dxfId="6" priority="1" operator="equal">
      <formula>"N"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0" sqref="G30"/>
    </sheetView>
  </sheetViews>
  <sheetFormatPr defaultRowHeight="15" x14ac:dyDescent="0.25"/>
  <cols>
    <col min="1" max="1" width="14.7109375" style="1" customWidth="1"/>
    <col min="2" max="2" width="18.140625" style="1" bestFit="1" customWidth="1"/>
    <col min="3" max="3" width="21" style="1" bestFit="1" customWidth="1"/>
    <col min="4" max="4" width="9.140625" style="1"/>
    <col min="5" max="5" width="19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19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238</v>
      </c>
      <c r="C2" s="12" t="s">
        <v>240</v>
      </c>
      <c r="D2" s="5" t="s">
        <v>336</v>
      </c>
      <c r="E2" s="12" t="s">
        <v>239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241</v>
      </c>
      <c r="C3" s="5" t="s">
        <v>241</v>
      </c>
      <c r="D3" s="5" t="str">
        <f>IF(B3=C3,"Y","N")</f>
        <v>Y</v>
      </c>
      <c r="E3" s="19" t="s">
        <v>241</v>
      </c>
      <c r="F3" s="5" t="str">
        <f>IF(C3=E3,"Y","N")</f>
        <v>Y</v>
      </c>
      <c r="H3" s="5">
        <v>1</v>
      </c>
      <c r="I3" s="19" t="s">
        <v>265</v>
      </c>
      <c r="J3" s="5" t="e">
        <f>VLOOKUP(I3,'01-Capacitors'!I:J,2,FALSE)</f>
        <v>#N/A</v>
      </c>
    </row>
    <row r="4" spans="1:10" x14ac:dyDescent="0.25">
      <c r="A4" s="10"/>
      <c r="B4" s="5" t="s">
        <v>242</v>
      </c>
      <c r="C4" s="5" t="s">
        <v>242</v>
      </c>
      <c r="D4" s="5" t="str">
        <f>IF(B4=C4,"Y","N")</f>
        <v>Y</v>
      </c>
      <c r="E4" s="19" t="s">
        <v>242</v>
      </c>
      <c r="F4" s="5" t="str">
        <f t="shared" ref="F4:F45" si="0">IF(C4=E4,"Y","N")</f>
        <v>Y</v>
      </c>
      <c r="H4" s="5">
        <v>2</v>
      </c>
      <c r="I4" s="19" t="s">
        <v>58</v>
      </c>
      <c r="J4" s="5" t="e">
        <f>VLOOKUP(I4,'01-Capacitors'!I:J,2,FALSE)</f>
        <v>#N/A</v>
      </c>
    </row>
    <row r="5" spans="1:10" x14ac:dyDescent="0.25">
      <c r="A5" s="10"/>
      <c r="B5" s="5" t="s">
        <v>243</v>
      </c>
      <c r="C5" s="5" t="s">
        <v>243</v>
      </c>
      <c r="D5" s="5" t="str">
        <f>IF(B5=C5,"Y","N")</f>
        <v>Y</v>
      </c>
      <c r="E5" s="19" t="s">
        <v>243</v>
      </c>
      <c r="F5" s="5" t="str">
        <f t="shared" si="0"/>
        <v>Y</v>
      </c>
      <c r="H5" s="5">
        <v>3</v>
      </c>
      <c r="I5" s="19" t="s">
        <v>72</v>
      </c>
      <c r="J5" s="5" t="e">
        <f>VLOOKUP(I5,'01-Capacitors'!I:J,2,FALSE)</f>
        <v>#N/A</v>
      </c>
    </row>
    <row r="6" spans="1:10" x14ac:dyDescent="0.25">
      <c r="A6" s="10"/>
      <c r="B6" s="5" t="s">
        <v>244</v>
      </c>
      <c r="C6" s="5" t="s">
        <v>244</v>
      </c>
      <c r="D6" s="5" t="str">
        <f>IF(B6=C6,"Y","N")</f>
        <v>Y</v>
      </c>
      <c r="E6" s="19" t="s">
        <v>244</v>
      </c>
      <c r="F6" s="5" t="str">
        <f t="shared" si="0"/>
        <v>Y</v>
      </c>
      <c r="H6" s="5">
        <v>4</v>
      </c>
      <c r="I6" s="19" t="s">
        <v>77</v>
      </c>
      <c r="J6" s="5" t="e">
        <f>VLOOKUP(I6,'01-Capacitors'!I:J,2,FALSE)</f>
        <v>#N/A</v>
      </c>
    </row>
    <row r="7" spans="1:10" x14ac:dyDescent="0.25">
      <c r="A7" s="10"/>
      <c r="B7" s="5" t="s">
        <v>245</v>
      </c>
      <c r="C7" s="5" t="s">
        <v>245</v>
      </c>
      <c r="D7" s="5" t="str">
        <f>IF(B7=C7,"Y","N")</f>
        <v>Y</v>
      </c>
      <c r="E7" s="19" t="s">
        <v>245</v>
      </c>
      <c r="F7" s="5" t="str">
        <f t="shared" si="0"/>
        <v>Y</v>
      </c>
      <c r="H7" s="18">
        <v>5</v>
      </c>
    </row>
    <row r="8" spans="1:10" x14ac:dyDescent="0.25">
      <c r="A8" s="10"/>
      <c r="B8" s="5" t="s">
        <v>246</v>
      </c>
      <c r="C8" s="5" t="s">
        <v>246</v>
      </c>
      <c r="D8" s="5" t="str">
        <f>IF(B8=C8,"Y","N")</f>
        <v>Y</v>
      </c>
      <c r="E8" s="19" t="s">
        <v>246</v>
      </c>
      <c r="F8" s="5" t="str">
        <f t="shared" si="0"/>
        <v>Y</v>
      </c>
      <c r="H8" s="5">
        <v>6</v>
      </c>
    </row>
    <row r="9" spans="1:10" x14ac:dyDescent="0.25">
      <c r="A9" s="10"/>
      <c r="B9" s="5" t="s">
        <v>247</v>
      </c>
      <c r="C9" s="5" t="s">
        <v>247</v>
      </c>
      <c r="D9" s="5" t="str">
        <f>IF(B9=C9,"Y","N")</f>
        <v>Y</v>
      </c>
      <c r="E9" s="19" t="s">
        <v>247</v>
      </c>
      <c r="F9" s="5" t="str">
        <f t="shared" si="0"/>
        <v>Y</v>
      </c>
      <c r="H9" s="5">
        <v>7</v>
      </c>
    </row>
    <row r="10" spans="1:10" x14ac:dyDescent="0.25">
      <c r="A10" s="10"/>
      <c r="B10" s="5" t="s">
        <v>248</v>
      </c>
      <c r="C10" s="5" t="s">
        <v>248</v>
      </c>
      <c r="D10" s="5" t="str">
        <f>IF(B10=C10,"Y","N")</f>
        <v>Y</v>
      </c>
      <c r="E10" s="19" t="s">
        <v>248</v>
      </c>
      <c r="F10" s="5" t="str">
        <f t="shared" si="0"/>
        <v>Y</v>
      </c>
      <c r="H10" s="5">
        <v>8</v>
      </c>
    </row>
    <row r="11" spans="1:10" x14ac:dyDescent="0.25">
      <c r="A11" s="10"/>
      <c r="B11" s="5" t="s">
        <v>249</v>
      </c>
      <c r="C11" s="5" t="s">
        <v>249</v>
      </c>
      <c r="D11" s="5" t="str">
        <f>IF(B11=C11,"Y","N")</f>
        <v>Y</v>
      </c>
      <c r="E11" s="19" t="s">
        <v>249</v>
      </c>
      <c r="F11" s="5" t="str">
        <f t="shared" si="0"/>
        <v>Y</v>
      </c>
      <c r="H11" s="5">
        <v>9</v>
      </c>
    </row>
    <row r="12" spans="1:10" x14ac:dyDescent="0.25">
      <c r="A12" s="10"/>
      <c r="B12" s="5" t="s">
        <v>250</v>
      </c>
      <c r="C12" s="5" t="s">
        <v>250</v>
      </c>
      <c r="D12" s="5" t="str">
        <f>IF(B12=C12,"Y","N")</f>
        <v>Y</v>
      </c>
      <c r="E12" s="19" t="s">
        <v>250</v>
      </c>
      <c r="F12" s="5" t="str">
        <f t="shared" si="0"/>
        <v>Y</v>
      </c>
      <c r="H12" s="5">
        <v>10</v>
      </c>
    </row>
    <row r="13" spans="1:10" x14ac:dyDescent="0.25">
      <c r="A13" s="10"/>
      <c r="B13" s="5" t="s">
        <v>251</v>
      </c>
      <c r="C13" s="5" t="s">
        <v>251</v>
      </c>
      <c r="D13" s="5" t="str">
        <f>IF(B13=C13,"Y","N")</f>
        <v>Y</v>
      </c>
      <c r="E13" s="19" t="s">
        <v>251</v>
      </c>
      <c r="F13" s="5" t="str">
        <f t="shared" si="0"/>
        <v>Y</v>
      </c>
      <c r="H13" s="5">
        <v>11</v>
      </c>
    </row>
    <row r="14" spans="1:10" x14ac:dyDescent="0.25">
      <c r="A14" s="10"/>
      <c r="B14" s="5" t="s">
        <v>252</v>
      </c>
      <c r="C14" s="5" t="s">
        <v>252</v>
      </c>
      <c r="D14" s="5" t="str">
        <f>IF(B14=C14,"Y","N")</f>
        <v>Y</v>
      </c>
      <c r="E14" s="19" t="s">
        <v>252</v>
      </c>
      <c r="F14" s="5" t="str">
        <f t="shared" si="0"/>
        <v>Y</v>
      </c>
      <c r="H14" s="5">
        <v>12</v>
      </c>
    </row>
    <row r="15" spans="1:10" x14ac:dyDescent="0.25">
      <c r="A15" s="10"/>
      <c r="B15" s="5" t="s">
        <v>253</v>
      </c>
      <c r="C15" s="5" t="s">
        <v>253</v>
      </c>
      <c r="D15" s="5" t="str">
        <f>IF(B15=C15,"Y","N")</f>
        <v>Y</v>
      </c>
      <c r="E15" s="19" t="s">
        <v>253</v>
      </c>
      <c r="F15" s="5" t="str">
        <f t="shared" si="0"/>
        <v>Y</v>
      </c>
      <c r="H15" s="5">
        <v>13</v>
      </c>
    </row>
    <row r="16" spans="1:10" x14ac:dyDescent="0.25">
      <c r="A16" s="10"/>
      <c r="B16" s="5" t="s">
        <v>254</v>
      </c>
      <c r="C16" s="5" t="s">
        <v>254</v>
      </c>
      <c r="D16" s="5" t="str">
        <f>IF(B16=C16,"Y","N")</f>
        <v>Y</v>
      </c>
      <c r="E16" s="19" t="s">
        <v>254</v>
      </c>
      <c r="F16" s="5" t="str">
        <f t="shared" si="0"/>
        <v>Y</v>
      </c>
      <c r="H16" s="5">
        <v>14</v>
      </c>
    </row>
    <row r="17" spans="1:8" x14ac:dyDescent="0.25">
      <c r="A17" s="10"/>
      <c r="B17" s="5" t="s">
        <v>255</v>
      </c>
      <c r="C17" s="5" t="s">
        <v>255</v>
      </c>
      <c r="D17" s="5" t="str">
        <f>IF(B17=C17,"Y","N")</f>
        <v>Y</v>
      </c>
      <c r="E17" s="19" t="s">
        <v>255</v>
      </c>
      <c r="F17" s="5" t="str">
        <f t="shared" si="0"/>
        <v>Y</v>
      </c>
      <c r="H17" s="5">
        <v>15</v>
      </c>
    </row>
    <row r="18" spans="1:8" x14ac:dyDescent="0.25">
      <c r="A18" s="10"/>
      <c r="B18" s="5" t="s">
        <v>256</v>
      </c>
      <c r="C18" s="5" t="s">
        <v>256</v>
      </c>
      <c r="D18" s="5" t="str">
        <f>IF(B18=C18,"Y","N")</f>
        <v>Y</v>
      </c>
      <c r="E18" s="19" t="s">
        <v>256</v>
      </c>
      <c r="F18" s="5" t="str">
        <f t="shared" si="0"/>
        <v>Y</v>
      </c>
      <c r="H18" s="5">
        <v>16</v>
      </c>
    </row>
    <row r="19" spans="1:8" x14ac:dyDescent="0.25">
      <c r="A19" s="10"/>
      <c r="B19" s="5" t="s">
        <v>257</v>
      </c>
      <c r="C19" s="5" t="s">
        <v>257</v>
      </c>
      <c r="D19" s="5" t="str">
        <f>IF(B19=C19,"Y","N")</f>
        <v>Y</v>
      </c>
      <c r="E19" s="19" t="s">
        <v>257</v>
      </c>
      <c r="F19" s="5" t="str">
        <f t="shared" si="0"/>
        <v>Y</v>
      </c>
      <c r="H19" s="5">
        <v>17</v>
      </c>
    </row>
    <row r="20" spans="1:8" x14ac:dyDescent="0.25">
      <c r="A20" s="10"/>
      <c r="B20" s="5" t="s">
        <v>258</v>
      </c>
      <c r="C20" s="5" t="s">
        <v>258</v>
      </c>
      <c r="D20" s="5" t="str">
        <f>IF(B20=C20,"Y","N")</f>
        <v>Y</v>
      </c>
      <c r="E20" s="19" t="s">
        <v>258</v>
      </c>
      <c r="F20" s="5" t="str">
        <f t="shared" si="0"/>
        <v>Y</v>
      </c>
      <c r="H20" s="5">
        <v>18</v>
      </c>
    </row>
    <row r="21" spans="1:8" x14ac:dyDescent="0.25">
      <c r="A21" s="10"/>
      <c r="B21" s="5" t="s">
        <v>259</v>
      </c>
      <c r="C21" s="5" t="s">
        <v>259</v>
      </c>
      <c r="D21" s="5" t="str">
        <f>IF(B21=C21,"Y","N")</f>
        <v>Y</v>
      </c>
      <c r="E21" s="19" t="s">
        <v>31</v>
      </c>
      <c r="F21" s="5" t="str">
        <f t="shared" si="0"/>
        <v>N</v>
      </c>
      <c r="H21" s="5">
        <v>19</v>
      </c>
    </row>
    <row r="22" spans="1:8" x14ac:dyDescent="0.25">
      <c r="A22" s="10"/>
      <c r="B22" s="5" t="s">
        <v>260</v>
      </c>
      <c r="C22" s="5" t="s">
        <v>260</v>
      </c>
      <c r="D22" s="5" t="str">
        <f>IF(B22=C22,"Y","N")</f>
        <v>Y</v>
      </c>
      <c r="E22" s="19" t="s">
        <v>259</v>
      </c>
      <c r="F22" s="5" t="str">
        <f t="shared" si="0"/>
        <v>N</v>
      </c>
      <c r="H22" s="5">
        <v>20</v>
      </c>
    </row>
    <row r="23" spans="1:8" x14ac:dyDescent="0.25">
      <c r="A23" s="10"/>
      <c r="B23" s="5" t="s">
        <v>261</v>
      </c>
      <c r="C23" s="5" t="s">
        <v>261</v>
      </c>
      <c r="D23" s="5" t="str">
        <f>IF(B23=C23,"Y","N")</f>
        <v>Y</v>
      </c>
      <c r="E23" s="19" t="s">
        <v>260</v>
      </c>
      <c r="F23" s="5" t="str">
        <f t="shared" si="0"/>
        <v>N</v>
      </c>
      <c r="H23" s="5">
        <v>21</v>
      </c>
    </row>
    <row r="24" spans="1:8" x14ac:dyDescent="0.25">
      <c r="A24" s="10"/>
      <c r="B24" s="5" t="s">
        <v>38</v>
      </c>
      <c r="C24" s="5" t="s">
        <v>38</v>
      </c>
      <c r="D24" s="5" t="str">
        <f>IF(B24=C24,"Y","N")</f>
        <v>Y</v>
      </c>
      <c r="E24" s="19" t="s">
        <v>261</v>
      </c>
      <c r="F24" s="5" t="str">
        <f t="shared" si="0"/>
        <v>N</v>
      </c>
      <c r="H24" s="5">
        <v>22</v>
      </c>
    </row>
    <row r="25" spans="1:8" x14ac:dyDescent="0.25">
      <c r="A25" s="10"/>
      <c r="B25" s="5" t="s">
        <v>262</v>
      </c>
      <c r="C25" s="5" t="s">
        <v>262</v>
      </c>
      <c r="D25" s="5" t="str">
        <f>IF(B25=C25,"Y","N")</f>
        <v>Y</v>
      </c>
      <c r="E25" s="19" t="s">
        <v>38</v>
      </c>
      <c r="F25" s="5" t="str">
        <f t="shared" si="0"/>
        <v>N</v>
      </c>
    </row>
    <row r="26" spans="1:8" x14ac:dyDescent="0.25">
      <c r="A26" s="10"/>
      <c r="B26" s="5" t="s">
        <v>263</v>
      </c>
      <c r="C26" s="5" t="s">
        <v>263</v>
      </c>
      <c r="D26" s="5" t="str">
        <f>IF(B26=C26,"Y","N")</f>
        <v>Y</v>
      </c>
      <c r="E26" s="19" t="s">
        <v>262</v>
      </c>
      <c r="F26" s="5" t="str">
        <f t="shared" si="0"/>
        <v>N</v>
      </c>
    </row>
    <row r="27" spans="1:8" x14ac:dyDescent="0.25">
      <c r="A27" s="10"/>
      <c r="B27" s="5" t="s">
        <v>264</v>
      </c>
      <c r="C27" s="5" t="s">
        <v>264</v>
      </c>
      <c r="D27" s="5" t="str">
        <f>IF(B27=C27,"Y","N")</f>
        <v>Y</v>
      </c>
      <c r="E27" s="19" t="s">
        <v>263</v>
      </c>
      <c r="F27" s="5" t="str">
        <f t="shared" si="0"/>
        <v>N</v>
      </c>
    </row>
    <row r="28" spans="1:8" x14ac:dyDescent="0.25">
      <c r="A28" s="10"/>
      <c r="B28" s="5" t="s">
        <v>265</v>
      </c>
      <c r="C28" s="5" t="s">
        <v>265</v>
      </c>
      <c r="D28" s="5" t="str">
        <f>IF(B28=C28,"Y","N")</f>
        <v>Y</v>
      </c>
      <c r="E28" s="19" t="s">
        <v>264</v>
      </c>
      <c r="F28" s="5" t="str">
        <f t="shared" si="0"/>
        <v>N</v>
      </c>
    </row>
    <row r="29" spans="1:8" x14ac:dyDescent="0.25">
      <c r="A29" s="10"/>
      <c r="B29" s="5" t="s">
        <v>45</v>
      </c>
      <c r="C29" s="5" t="s">
        <v>45</v>
      </c>
      <c r="D29" s="5" t="str">
        <f>IF(B29=C29,"Y","N")</f>
        <v>Y</v>
      </c>
      <c r="E29" s="6"/>
      <c r="F29" s="5" t="str">
        <f t="shared" si="0"/>
        <v>N</v>
      </c>
      <c r="G29" s="14" t="s">
        <v>341</v>
      </c>
    </row>
    <row r="30" spans="1:8" x14ac:dyDescent="0.25">
      <c r="A30" s="10"/>
      <c r="B30" s="5" t="s">
        <v>46</v>
      </c>
      <c r="C30" s="5" t="s">
        <v>46</v>
      </c>
      <c r="D30" s="5" t="str">
        <f>IF(B30=C30,"Y","N")</f>
        <v>Y</v>
      </c>
      <c r="E30" s="6"/>
      <c r="F30" s="5" t="str">
        <f t="shared" si="0"/>
        <v>N</v>
      </c>
      <c r="G30" s="1" t="s">
        <v>353</v>
      </c>
    </row>
    <row r="31" spans="1:8" x14ac:dyDescent="0.25">
      <c r="A31" s="10"/>
      <c r="B31" s="5" t="s">
        <v>266</v>
      </c>
      <c r="C31" s="5" t="s">
        <v>266</v>
      </c>
      <c r="D31" s="5" t="str">
        <f>IF(B31=C31,"Y","N")</f>
        <v>Y</v>
      </c>
      <c r="E31" s="19" t="s">
        <v>266</v>
      </c>
      <c r="F31" s="5" t="str">
        <f t="shared" si="0"/>
        <v>Y</v>
      </c>
    </row>
    <row r="32" spans="1:8" x14ac:dyDescent="0.25">
      <c r="A32" s="10"/>
      <c r="B32" s="5" t="s">
        <v>267</v>
      </c>
      <c r="C32" s="5" t="s">
        <v>267</v>
      </c>
      <c r="D32" s="5" t="str">
        <f>IF(B32=C32,"Y","N")</f>
        <v>Y</v>
      </c>
      <c r="E32" s="19" t="s">
        <v>267</v>
      </c>
      <c r="F32" s="5" t="str">
        <f t="shared" si="0"/>
        <v>Y</v>
      </c>
    </row>
    <row r="33" spans="1:6" x14ac:dyDescent="0.25">
      <c r="A33" s="10"/>
      <c r="B33" s="5" t="s">
        <v>83</v>
      </c>
      <c r="C33" s="5" t="s">
        <v>83</v>
      </c>
      <c r="D33" s="5" t="str">
        <f>IF(B33=C33,"Y","N")</f>
        <v>Y</v>
      </c>
      <c r="E33" s="19" t="s">
        <v>83</v>
      </c>
      <c r="F33" s="5" t="str">
        <f t="shared" si="0"/>
        <v>Y</v>
      </c>
    </row>
    <row r="34" spans="1:6" x14ac:dyDescent="0.25">
      <c r="A34" s="10"/>
      <c r="B34" s="5" t="s">
        <v>85</v>
      </c>
      <c r="C34" s="5" t="s">
        <v>85</v>
      </c>
      <c r="D34" s="5" t="str">
        <f>IF(B34=C34,"Y","N")</f>
        <v>Y</v>
      </c>
      <c r="E34" s="19" t="s">
        <v>85</v>
      </c>
      <c r="F34" s="5" t="str">
        <f t="shared" si="0"/>
        <v>Y</v>
      </c>
    </row>
    <row r="35" spans="1:6" x14ac:dyDescent="0.25">
      <c r="A35" s="10"/>
      <c r="B35" s="5" t="s">
        <v>86</v>
      </c>
      <c r="C35" s="5" t="s">
        <v>86</v>
      </c>
      <c r="D35" s="5" t="str">
        <f>IF(B35=C35,"Y","N")</f>
        <v>Y</v>
      </c>
      <c r="E35" s="19" t="s">
        <v>86</v>
      </c>
      <c r="F35" s="5" t="str">
        <f t="shared" si="0"/>
        <v>Y</v>
      </c>
    </row>
    <row r="36" spans="1:6" x14ac:dyDescent="0.25">
      <c r="A36" s="10"/>
      <c r="B36" s="5" t="s">
        <v>268</v>
      </c>
      <c r="C36" s="5" t="s">
        <v>268</v>
      </c>
      <c r="D36" s="5" t="str">
        <f>IF(B36=C36,"Y","N")</f>
        <v>Y</v>
      </c>
      <c r="E36" s="19" t="s">
        <v>268</v>
      </c>
      <c r="F36" s="5" t="str">
        <f t="shared" si="0"/>
        <v>Y</v>
      </c>
    </row>
    <row r="37" spans="1:6" x14ac:dyDescent="0.25">
      <c r="A37" s="10"/>
      <c r="B37" s="5" t="s">
        <v>269</v>
      </c>
      <c r="C37" s="5" t="s">
        <v>269</v>
      </c>
      <c r="D37" s="5" t="str">
        <f>IF(B37=C37,"Y","N")</f>
        <v>Y</v>
      </c>
      <c r="E37" s="19" t="s">
        <v>269</v>
      </c>
      <c r="F37" s="5" t="str">
        <f t="shared" si="0"/>
        <v>Y</v>
      </c>
    </row>
    <row r="38" spans="1:6" x14ac:dyDescent="0.25">
      <c r="A38" s="10"/>
      <c r="B38" s="5" t="s">
        <v>95</v>
      </c>
      <c r="C38" s="5" t="s">
        <v>95</v>
      </c>
      <c r="D38" s="5" t="str">
        <f>IF(B38=C38,"Y","N")</f>
        <v>Y</v>
      </c>
      <c r="E38" s="19" t="s">
        <v>95</v>
      </c>
      <c r="F38" s="5" t="str">
        <f t="shared" si="0"/>
        <v>Y</v>
      </c>
    </row>
    <row r="39" spans="1:6" x14ac:dyDescent="0.25">
      <c r="A39" s="10"/>
      <c r="B39" s="5" t="s">
        <v>96</v>
      </c>
      <c r="C39" s="5" t="s">
        <v>96</v>
      </c>
      <c r="D39" s="5" t="str">
        <f>IF(B39=C39,"Y","N")</f>
        <v>Y</v>
      </c>
      <c r="E39" s="19" t="s">
        <v>96</v>
      </c>
      <c r="F39" s="5" t="str">
        <f t="shared" si="0"/>
        <v>Y</v>
      </c>
    </row>
    <row r="40" spans="1:6" x14ac:dyDescent="0.25">
      <c r="A40" s="10"/>
      <c r="B40" s="5" t="s">
        <v>97</v>
      </c>
      <c r="C40" s="5" t="s">
        <v>97</v>
      </c>
      <c r="D40" s="5" t="str">
        <f>IF(B40=C40,"Y","N")</f>
        <v>Y</v>
      </c>
      <c r="E40" s="19" t="s">
        <v>97</v>
      </c>
      <c r="F40" s="5" t="str">
        <f t="shared" si="0"/>
        <v>Y</v>
      </c>
    </row>
    <row r="41" spans="1:6" x14ac:dyDescent="0.25">
      <c r="A41" s="10"/>
      <c r="B41" s="5" t="s">
        <v>100</v>
      </c>
      <c r="C41" s="5" t="s">
        <v>100</v>
      </c>
      <c r="D41" s="5" t="str">
        <f>IF(B41=C41,"Y","N")</f>
        <v>Y</v>
      </c>
      <c r="E41" s="19" t="s">
        <v>100</v>
      </c>
      <c r="F41" s="5" t="str">
        <f t="shared" si="0"/>
        <v>Y</v>
      </c>
    </row>
    <row r="42" spans="1:6" x14ac:dyDescent="0.25">
      <c r="A42" s="10"/>
      <c r="B42" s="5" t="s">
        <v>270</v>
      </c>
      <c r="C42" s="5" t="s">
        <v>270</v>
      </c>
      <c r="D42" s="5" t="str">
        <f>IF(B42=C42,"Y","N")</f>
        <v>Y</v>
      </c>
      <c r="E42" s="19" t="s">
        <v>270</v>
      </c>
      <c r="F42" s="5" t="str">
        <f t="shared" si="0"/>
        <v>Y</v>
      </c>
    </row>
    <row r="43" spans="1:6" x14ac:dyDescent="0.25">
      <c r="A43" s="10"/>
      <c r="B43" s="5" t="s">
        <v>271</v>
      </c>
      <c r="C43" s="5" t="s">
        <v>271</v>
      </c>
      <c r="D43" s="5" t="str">
        <f>IF(B43=C43,"Y","N")</f>
        <v>Y</v>
      </c>
      <c r="E43" s="19" t="s">
        <v>271</v>
      </c>
      <c r="F43" s="5" t="str">
        <f t="shared" si="0"/>
        <v>Y</v>
      </c>
    </row>
    <row r="44" spans="1:6" x14ac:dyDescent="0.25">
      <c r="A44" s="10"/>
      <c r="B44" s="5" t="s">
        <v>272</v>
      </c>
      <c r="C44" s="5" t="s">
        <v>272</v>
      </c>
      <c r="D44" s="5" t="str">
        <f>IF(B44=C44,"Y","N")</f>
        <v>Y</v>
      </c>
      <c r="E44" s="19" t="s">
        <v>272</v>
      </c>
      <c r="F44" s="5" t="str">
        <f t="shared" si="0"/>
        <v>Y</v>
      </c>
    </row>
    <row r="45" spans="1:6" x14ac:dyDescent="0.25">
      <c r="A45" s="10"/>
      <c r="B45" s="5" t="s">
        <v>112</v>
      </c>
      <c r="C45" s="5" t="s">
        <v>112</v>
      </c>
      <c r="D45" s="5" t="str">
        <f>IF(B45=C45,"Y","N")</f>
        <v>Y</v>
      </c>
      <c r="E45" s="19" t="s">
        <v>122</v>
      </c>
      <c r="F45" s="5" t="str">
        <f t="shared" si="0"/>
        <v>N</v>
      </c>
    </row>
  </sheetData>
  <autoFilter ref="A2:J2" xr:uid="{00000000-0001-0000-1700-000000000000}"/>
  <conditionalFormatting sqref="E1 D2:E22 D23 D24:E1048576">
    <cfRule type="cellIs" dxfId="5" priority="3" operator="equal">
      <formula>"N"</formula>
    </cfRule>
  </conditionalFormatting>
  <conditionalFormatting sqref="G29">
    <cfRule type="cellIs" dxfId="4" priority="2" operator="equal">
      <formula>"N"</formula>
    </cfRule>
  </conditionalFormatting>
  <conditionalFormatting sqref="F3:F45">
    <cfRule type="cellIs" dxfId="3" priority="1" operator="equal">
      <formula>"N"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9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2" sqref="G12"/>
    </sheetView>
  </sheetViews>
  <sheetFormatPr defaultRowHeight="15" x14ac:dyDescent="0.25"/>
  <cols>
    <col min="1" max="1" width="14.7109375" style="1" customWidth="1"/>
    <col min="2" max="2" width="20.140625" style="1" bestFit="1" customWidth="1"/>
    <col min="3" max="3" width="21" style="1" bestFit="1" customWidth="1"/>
    <col min="4" max="4" width="9.140625" style="1"/>
    <col min="5" max="5" width="16.7109375" style="1" bestFit="1" customWidth="1"/>
    <col min="6" max="6" width="7.42578125" style="1" bestFit="1" customWidth="1"/>
    <col min="7" max="7" width="27.7109375" style="1" bestFit="1" customWidth="1"/>
    <col min="8" max="8" width="5.85546875" style="1" bestFit="1" customWidth="1"/>
    <col min="9" max="9" width="16.28515625" style="1" bestFit="1" customWidth="1"/>
    <col min="10" max="10" width="19" style="1" customWidth="1"/>
    <col min="11" max="16384" width="9.140625" style="1"/>
  </cols>
  <sheetData>
    <row r="1" spans="1:10" x14ac:dyDescent="0.25">
      <c r="A1" s="2" t="s">
        <v>332</v>
      </c>
      <c r="B1" s="11" t="s">
        <v>0</v>
      </c>
      <c r="C1" s="11" t="s">
        <v>2</v>
      </c>
      <c r="E1" s="11" t="s">
        <v>1</v>
      </c>
      <c r="F1" s="5"/>
    </row>
    <row r="2" spans="1:10" x14ac:dyDescent="0.25">
      <c r="A2" s="3" t="s">
        <v>333</v>
      </c>
      <c r="B2" s="12" t="s">
        <v>273</v>
      </c>
      <c r="C2" s="12" t="s">
        <v>275</v>
      </c>
      <c r="D2" s="5" t="s">
        <v>336</v>
      </c>
      <c r="E2" s="12" t="s">
        <v>274</v>
      </c>
      <c r="F2" s="5" t="s">
        <v>337</v>
      </c>
      <c r="H2" s="5" t="s">
        <v>351</v>
      </c>
      <c r="I2" s="5" t="s">
        <v>335</v>
      </c>
      <c r="J2" s="5" t="s">
        <v>331</v>
      </c>
    </row>
    <row r="3" spans="1:10" x14ac:dyDescent="0.25">
      <c r="A3" s="10" t="s">
        <v>334</v>
      </c>
      <c r="B3" s="5" t="s">
        <v>6</v>
      </c>
      <c r="C3" s="5" t="s">
        <v>6</v>
      </c>
      <c r="D3" s="5" t="str">
        <f>IF(B3=C3,"Y","N")</f>
        <v>Y</v>
      </c>
      <c r="E3" s="19" t="s">
        <v>6</v>
      </c>
      <c r="F3" s="5" t="str">
        <f>IF(C3=E3,"Y","N")</f>
        <v>Y</v>
      </c>
      <c r="H3" s="5">
        <v>1</v>
      </c>
      <c r="I3" s="19" t="s">
        <v>13</v>
      </c>
      <c r="J3" s="5" t="str">
        <f>VLOOKUP(I3,'01-Capacitors'!I:J,2,FALSE)</f>
        <v>Empty</v>
      </c>
    </row>
    <row r="4" spans="1:10" x14ac:dyDescent="0.25">
      <c r="A4" s="10"/>
      <c r="B4" s="5" t="s">
        <v>8</v>
      </c>
      <c r="C4" s="5" t="s">
        <v>8</v>
      </c>
      <c r="D4" s="5" t="str">
        <f>IF(B4=C4,"Y","N")</f>
        <v>Y</v>
      </c>
      <c r="E4" s="19" t="s">
        <v>8</v>
      </c>
      <c r="F4" s="5" t="str">
        <f t="shared" ref="F4:F20" si="0">IF(C4=E4,"Y","N")</f>
        <v>Y</v>
      </c>
      <c r="H4" s="5">
        <v>2</v>
      </c>
      <c r="I4" s="19" t="s">
        <v>77</v>
      </c>
      <c r="J4" s="5" t="e">
        <f>VLOOKUP(I4,'01-Capacitors'!I:J,2,FALSE)</f>
        <v>#N/A</v>
      </c>
    </row>
    <row r="5" spans="1:10" x14ac:dyDescent="0.25">
      <c r="A5" s="10"/>
      <c r="B5" s="5" t="s">
        <v>9</v>
      </c>
      <c r="C5" s="5" t="s">
        <v>9</v>
      </c>
      <c r="D5" s="5" t="str">
        <f>IF(B5=C5,"Y","N")</f>
        <v>Y</v>
      </c>
      <c r="E5" s="19" t="s">
        <v>9</v>
      </c>
      <c r="F5" s="5" t="str">
        <f t="shared" si="0"/>
        <v>Y</v>
      </c>
      <c r="H5" s="5">
        <v>3</v>
      </c>
      <c r="I5" s="19" t="s">
        <v>99</v>
      </c>
      <c r="J5" s="5" t="str">
        <f>VLOOKUP(I5,'01-Capacitors'!I:J,2,FALSE)</f>
        <v>Empty</v>
      </c>
    </row>
    <row r="6" spans="1:10" x14ac:dyDescent="0.25">
      <c r="A6" s="10"/>
      <c r="B6" s="5" t="s">
        <v>10</v>
      </c>
      <c r="C6" s="5" t="s">
        <v>10</v>
      </c>
      <c r="D6" s="5" t="str">
        <f>IF(B6=C6,"Y","N")</f>
        <v>Y</v>
      </c>
      <c r="E6" s="19" t="s">
        <v>10</v>
      </c>
      <c r="F6" s="5" t="str">
        <f t="shared" si="0"/>
        <v>Y</v>
      </c>
      <c r="H6" s="5">
        <v>4</v>
      </c>
      <c r="I6" s="19" t="s">
        <v>113</v>
      </c>
      <c r="J6" s="5" t="str">
        <f>VLOOKUP(I6,'01-Capacitors'!I:J,2,FALSE)</f>
        <v>Empty</v>
      </c>
    </row>
    <row r="7" spans="1:10" x14ac:dyDescent="0.25">
      <c r="A7" s="10"/>
      <c r="B7" s="5" t="s">
        <v>17</v>
      </c>
      <c r="C7" s="5" t="s">
        <v>17</v>
      </c>
      <c r="D7" s="5" t="str">
        <f>IF(B7=C7,"Y","N")</f>
        <v>Y</v>
      </c>
      <c r="E7" s="6"/>
      <c r="F7" s="5" t="str">
        <f t="shared" si="0"/>
        <v>N</v>
      </c>
      <c r="G7" s="1" t="s">
        <v>353</v>
      </c>
      <c r="H7" s="5">
        <v>5</v>
      </c>
      <c r="I7" s="19" t="s">
        <v>110</v>
      </c>
      <c r="J7" s="5" t="e">
        <f>VLOOKUP(I7,'01-Capacitors'!I:J,2,FALSE)</f>
        <v>#N/A</v>
      </c>
    </row>
    <row r="8" spans="1:10" x14ac:dyDescent="0.25">
      <c r="A8" s="10"/>
      <c r="B8" s="5" t="s">
        <v>38</v>
      </c>
      <c r="C8" s="5" t="s">
        <v>38</v>
      </c>
      <c r="D8" s="5" t="str">
        <f>IF(B8=C8,"Y","N")</f>
        <v>Y</v>
      </c>
      <c r="E8" s="19" t="s">
        <v>38</v>
      </c>
      <c r="F8" s="5" t="str">
        <f t="shared" si="0"/>
        <v>Y</v>
      </c>
    </row>
    <row r="9" spans="1:10" x14ac:dyDescent="0.25">
      <c r="A9" s="10"/>
      <c r="B9" s="5" t="s">
        <v>45</v>
      </c>
      <c r="C9" s="5" t="s">
        <v>45</v>
      </c>
      <c r="D9" s="5" t="str">
        <f>IF(B9=C9,"Y","N")</f>
        <v>Y</v>
      </c>
      <c r="E9" s="6"/>
      <c r="F9" s="5" t="str">
        <f t="shared" si="0"/>
        <v>N</v>
      </c>
      <c r="G9" s="14" t="s">
        <v>341</v>
      </c>
    </row>
    <row r="10" spans="1:10" x14ac:dyDescent="0.25">
      <c r="A10" s="10"/>
      <c r="B10" s="5" t="s">
        <v>46</v>
      </c>
      <c r="C10" s="5" t="s">
        <v>46</v>
      </c>
      <c r="D10" s="5" t="str">
        <f>IF(B10=C10,"Y","N")</f>
        <v>Y</v>
      </c>
      <c r="E10" s="6"/>
      <c r="F10" s="5" t="str">
        <f t="shared" si="0"/>
        <v>N</v>
      </c>
      <c r="G10" s="1" t="s">
        <v>353</v>
      </c>
    </row>
    <row r="11" spans="1:10" x14ac:dyDescent="0.25">
      <c r="A11" s="10"/>
      <c r="B11" s="5" t="s">
        <v>48</v>
      </c>
      <c r="C11" s="5" t="s">
        <v>48</v>
      </c>
      <c r="D11" s="5" t="str">
        <f>IF(B11=C11,"Y","N")</f>
        <v>Y</v>
      </c>
      <c r="E11" s="6"/>
      <c r="F11" s="5" t="str">
        <f t="shared" si="0"/>
        <v>N</v>
      </c>
      <c r="G11" s="1" t="s">
        <v>353</v>
      </c>
    </row>
    <row r="12" spans="1:10" x14ac:dyDescent="0.25">
      <c r="A12" s="10"/>
      <c r="B12" s="5" t="s">
        <v>57</v>
      </c>
      <c r="C12" s="5" t="s">
        <v>57</v>
      </c>
      <c r="D12" s="5" t="str">
        <f>IF(B12=C12,"Y","N")</f>
        <v>Y</v>
      </c>
      <c r="E12" s="6"/>
      <c r="F12" s="5" t="str">
        <f t="shared" si="0"/>
        <v>N</v>
      </c>
      <c r="G12" s="1" t="s">
        <v>353</v>
      </c>
    </row>
    <row r="13" spans="1:10" x14ac:dyDescent="0.25">
      <c r="A13" s="10"/>
      <c r="B13" s="5" t="s">
        <v>83</v>
      </c>
      <c r="C13" s="5" t="s">
        <v>83</v>
      </c>
      <c r="D13" s="5" t="str">
        <f>IF(B13=C13,"Y","N")</f>
        <v>Y</v>
      </c>
      <c r="E13" s="19" t="s">
        <v>83</v>
      </c>
      <c r="F13" s="5" t="str">
        <f t="shared" si="0"/>
        <v>Y</v>
      </c>
    </row>
    <row r="14" spans="1:10" x14ac:dyDescent="0.25">
      <c r="A14" s="10"/>
      <c r="B14" s="5" t="s">
        <v>85</v>
      </c>
      <c r="C14" s="5" t="s">
        <v>85</v>
      </c>
      <c r="D14" s="5" t="str">
        <f>IF(B14=C14,"Y","N")</f>
        <v>Y</v>
      </c>
      <c r="E14" s="19" t="s">
        <v>85</v>
      </c>
      <c r="F14" s="5" t="str">
        <f t="shared" si="0"/>
        <v>Y</v>
      </c>
    </row>
    <row r="15" spans="1:10" x14ac:dyDescent="0.25">
      <c r="A15" s="10"/>
      <c r="B15" s="5" t="s">
        <v>86</v>
      </c>
      <c r="C15" s="5" t="s">
        <v>86</v>
      </c>
      <c r="D15" s="5" t="str">
        <f>IF(B15=C15,"Y","N")</f>
        <v>Y</v>
      </c>
      <c r="E15" s="19" t="s">
        <v>86</v>
      </c>
      <c r="F15" s="5" t="str">
        <f t="shared" si="0"/>
        <v>Y</v>
      </c>
    </row>
    <row r="16" spans="1:10" x14ac:dyDescent="0.25">
      <c r="A16" s="10"/>
      <c r="B16" s="5" t="s">
        <v>95</v>
      </c>
      <c r="C16" s="5" t="s">
        <v>95</v>
      </c>
      <c r="D16" s="5" t="str">
        <f>IF(B16=C16,"Y","N")</f>
        <v>Y</v>
      </c>
      <c r="E16" s="19" t="s">
        <v>95</v>
      </c>
      <c r="F16" s="5" t="str">
        <f t="shared" si="0"/>
        <v>Y</v>
      </c>
    </row>
    <row r="17" spans="1:6" x14ac:dyDescent="0.25">
      <c r="A17" s="10"/>
      <c r="B17" s="5" t="s">
        <v>96</v>
      </c>
      <c r="C17" s="5" t="s">
        <v>96</v>
      </c>
      <c r="D17" s="5" t="str">
        <f>IF(B17=C17,"Y","N")</f>
        <v>Y</v>
      </c>
      <c r="E17" s="19" t="s">
        <v>96</v>
      </c>
      <c r="F17" s="5" t="str">
        <f t="shared" si="0"/>
        <v>Y</v>
      </c>
    </row>
    <row r="18" spans="1:6" x14ac:dyDescent="0.25">
      <c r="A18" s="10"/>
      <c r="B18" s="5" t="s">
        <v>97</v>
      </c>
      <c r="C18" s="5" t="s">
        <v>97</v>
      </c>
      <c r="D18" s="5" t="str">
        <f>IF(B18=C18,"Y","N")</f>
        <v>Y</v>
      </c>
      <c r="E18" s="19" t="s">
        <v>97</v>
      </c>
      <c r="F18" s="5" t="str">
        <f t="shared" si="0"/>
        <v>Y</v>
      </c>
    </row>
    <row r="19" spans="1:6" x14ac:dyDescent="0.25">
      <c r="A19" s="10"/>
      <c r="B19" s="5" t="s">
        <v>100</v>
      </c>
      <c r="C19" s="5" t="s">
        <v>100</v>
      </c>
      <c r="D19" s="5" t="str">
        <f>IF(B19=C19,"Y","N")</f>
        <v>Y</v>
      </c>
      <c r="E19" s="19" t="s">
        <v>100</v>
      </c>
      <c r="F19" s="5" t="str">
        <f t="shared" si="0"/>
        <v>Y</v>
      </c>
    </row>
    <row r="20" spans="1:6" x14ac:dyDescent="0.25">
      <c r="A20" s="10"/>
      <c r="B20" s="5" t="s">
        <v>112</v>
      </c>
      <c r="C20" s="5" t="s">
        <v>112</v>
      </c>
      <c r="D20" s="5" t="str">
        <f>IF(B20=C20,"Y","N")</f>
        <v>Y</v>
      </c>
      <c r="E20" s="19" t="s">
        <v>122</v>
      </c>
      <c r="F20" s="5" t="str">
        <f t="shared" si="0"/>
        <v>N</v>
      </c>
    </row>
    <row r="21" spans="1:6" x14ac:dyDescent="0.25">
      <c r="A21" s="10"/>
      <c r="B21" s="5"/>
      <c r="C21" s="5"/>
      <c r="D21" s="5" t="str">
        <f>IF(B21=C21,"Y","N")</f>
        <v>Y</v>
      </c>
    </row>
    <row r="22" spans="1:6" x14ac:dyDescent="0.25">
      <c r="A22" s="10"/>
      <c r="B22" s="5"/>
      <c r="C22" s="5"/>
      <c r="D22" s="5" t="str">
        <f>IF(B22=C22,"Y","N")</f>
        <v>Y</v>
      </c>
    </row>
    <row r="23" spans="1:6" x14ac:dyDescent="0.25">
      <c r="A23" s="10"/>
      <c r="B23" s="5"/>
      <c r="C23" s="5"/>
      <c r="D23" s="5" t="str">
        <f>IF(B23=C23,"Y","N")</f>
        <v>Y</v>
      </c>
    </row>
    <row r="24" spans="1:6" x14ac:dyDescent="0.25">
      <c r="A24" s="10"/>
      <c r="B24" s="5"/>
      <c r="C24" s="5"/>
      <c r="D24" s="5" t="str">
        <f>IF(B24=C24,"Y","N")</f>
        <v>Y</v>
      </c>
    </row>
    <row r="25" spans="1:6" x14ac:dyDescent="0.25">
      <c r="A25" s="10"/>
      <c r="B25" s="5"/>
      <c r="C25" s="5"/>
      <c r="D25" s="5" t="str">
        <f>IF(B25=C25,"Y","N")</f>
        <v>Y</v>
      </c>
    </row>
    <row r="26" spans="1:6" x14ac:dyDescent="0.25">
      <c r="A26" s="10"/>
      <c r="B26" s="5"/>
      <c r="C26" s="5"/>
      <c r="D26" s="5" t="str">
        <f>IF(B26=C26,"Y","N")</f>
        <v>Y</v>
      </c>
    </row>
    <row r="27" spans="1:6" x14ac:dyDescent="0.25">
      <c r="A27" s="10"/>
      <c r="B27" s="5"/>
      <c r="C27" s="5"/>
      <c r="D27" s="5" t="str">
        <f>IF(B27=C27,"Y","N")</f>
        <v>Y</v>
      </c>
    </row>
    <row r="28" spans="1:6" x14ac:dyDescent="0.25">
      <c r="A28" s="10"/>
      <c r="B28" s="5"/>
      <c r="C28" s="5"/>
      <c r="D28" s="5" t="str">
        <f>IF(B28=C28,"Y","N")</f>
        <v>Y</v>
      </c>
    </row>
    <row r="29" spans="1:6" x14ac:dyDescent="0.25">
      <c r="A29" s="10"/>
      <c r="B29" s="5"/>
      <c r="C29" s="5"/>
      <c r="D29" s="5" t="str">
        <f>IF(B29=C29,"Y","N")</f>
        <v>Y</v>
      </c>
    </row>
    <row r="30" spans="1:6" x14ac:dyDescent="0.25">
      <c r="A30" s="10"/>
      <c r="B30" s="5"/>
      <c r="C30" s="5"/>
      <c r="D30" s="5" t="str">
        <f>IF(B30=C30,"Y","N")</f>
        <v>Y</v>
      </c>
    </row>
    <row r="31" spans="1:6" x14ac:dyDescent="0.25">
      <c r="A31" s="10"/>
      <c r="B31" s="5"/>
      <c r="C31" s="5"/>
      <c r="D31" s="5" t="str">
        <f>IF(B31=C31,"Y","N")</f>
        <v>Y</v>
      </c>
    </row>
    <row r="32" spans="1:6" x14ac:dyDescent="0.25">
      <c r="A32" s="10"/>
      <c r="B32" s="5"/>
      <c r="C32" s="5"/>
      <c r="D32" s="5" t="str">
        <f>IF(B32=C32,"Y","N")</f>
        <v>Y</v>
      </c>
    </row>
    <row r="33" spans="1:4" x14ac:dyDescent="0.25">
      <c r="A33" s="10"/>
      <c r="B33" s="5"/>
      <c r="C33" s="5"/>
      <c r="D33" s="5" t="str">
        <f>IF(B33=C33,"Y","N")</f>
        <v>Y</v>
      </c>
    </row>
    <row r="34" spans="1:4" x14ac:dyDescent="0.25">
      <c r="A34" s="10"/>
      <c r="B34" s="5"/>
      <c r="C34" s="5"/>
      <c r="D34" s="5" t="str">
        <f>IF(B34=C34,"Y","N")</f>
        <v>Y</v>
      </c>
    </row>
    <row r="35" spans="1:4" x14ac:dyDescent="0.25">
      <c r="A35" s="10"/>
      <c r="B35" s="5"/>
      <c r="C35" s="5"/>
      <c r="D35" s="5" t="str">
        <f>IF(B35=C35,"Y","N")</f>
        <v>Y</v>
      </c>
    </row>
    <row r="36" spans="1:4" x14ac:dyDescent="0.25">
      <c r="A36" s="10"/>
      <c r="B36" s="5"/>
      <c r="C36" s="5"/>
      <c r="D36" s="5" t="str">
        <f>IF(B36=C36,"Y","N")</f>
        <v>Y</v>
      </c>
    </row>
    <row r="37" spans="1:4" x14ac:dyDescent="0.25">
      <c r="A37" s="10"/>
      <c r="B37" s="5"/>
      <c r="C37" s="5"/>
      <c r="D37" s="5" t="str">
        <f>IF(B37=C37,"Y","N")</f>
        <v>Y</v>
      </c>
    </row>
    <row r="38" spans="1:4" x14ac:dyDescent="0.25">
      <c r="A38" s="10"/>
      <c r="B38" s="5"/>
      <c r="C38" s="5"/>
      <c r="D38" s="5" t="str">
        <f>IF(B38=C38,"Y","N")</f>
        <v>Y</v>
      </c>
    </row>
    <row r="39" spans="1:4" x14ac:dyDescent="0.25">
      <c r="A39" s="10"/>
      <c r="B39" s="5"/>
      <c r="C39" s="5"/>
      <c r="D39" s="5" t="str">
        <f>IF(B39=C39,"Y","N")</f>
        <v>Y</v>
      </c>
    </row>
    <row r="40" spans="1:4" x14ac:dyDescent="0.25">
      <c r="A40" s="10"/>
      <c r="B40" s="5"/>
      <c r="C40" s="5"/>
      <c r="D40" s="5" t="str">
        <f>IF(B40=C40,"Y","N")</f>
        <v>Y</v>
      </c>
    </row>
    <row r="41" spans="1:4" x14ac:dyDescent="0.25">
      <c r="A41" s="10"/>
      <c r="B41" s="5"/>
      <c r="C41" s="5"/>
      <c r="D41" s="5" t="str">
        <f>IF(B41=C41,"Y","N")</f>
        <v>Y</v>
      </c>
    </row>
    <row r="42" spans="1:4" x14ac:dyDescent="0.25">
      <c r="A42" s="10"/>
      <c r="B42" s="5"/>
      <c r="C42" s="5"/>
      <c r="D42" s="5" t="str">
        <f>IF(B42=C42,"Y","N")</f>
        <v>Y</v>
      </c>
    </row>
    <row r="43" spans="1:4" x14ac:dyDescent="0.25">
      <c r="A43" s="10"/>
      <c r="B43" s="5"/>
      <c r="C43" s="5"/>
      <c r="D43" s="5" t="str">
        <f>IF(B43=C43,"Y","N")</f>
        <v>Y</v>
      </c>
    </row>
    <row r="44" spans="1:4" x14ac:dyDescent="0.25">
      <c r="A44" s="10"/>
      <c r="B44" s="5"/>
      <c r="C44" s="5"/>
      <c r="D44" s="5" t="str">
        <f>IF(B44=C44,"Y","N")</f>
        <v>Y</v>
      </c>
    </row>
    <row r="45" spans="1:4" x14ac:dyDescent="0.25">
      <c r="A45" s="10"/>
      <c r="B45" s="5"/>
      <c r="C45" s="5"/>
      <c r="D45" s="5" t="str">
        <f>IF(B45=C45,"Y","N")</f>
        <v>Y</v>
      </c>
    </row>
    <row r="46" spans="1:4" x14ac:dyDescent="0.25">
      <c r="A46" s="10"/>
      <c r="B46" s="5"/>
      <c r="C46" s="5"/>
      <c r="D46" s="5" t="str">
        <f>IF(B46=C46,"Y","N")</f>
        <v>Y</v>
      </c>
    </row>
    <row r="47" spans="1:4" x14ac:dyDescent="0.25">
      <c r="A47" s="10"/>
      <c r="B47" s="5"/>
      <c r="C47" s="5"/>
      <c r="D47" s="5" t="str">
        <f>IF(B47=C47,"Y","N")</f>
        <v>Y</v>
      </c>
    </row>
    <row r="48" spans="1:4" x14ac:dyDescent="0.25">
      <c r="A48" s="10"/>
      <c r="B48" s="5"/>
      <c r="C48" s="5"/>
      <c r="D48" s="5" t="str">
        <f>IF(B48=C48,"Y","N")</f>
        <v>Y</v>
      </c>
    </row>
    <row r="49" spans="1:4" x14ac:dyDescent="0.25">
      <c r="A49" s="10"/>
      <c r="B49" s="5"/>
      <c r="C49" s="5"/>
      <c r="D49" s="5" t="str">
        <f>IF(B49=C49,"Y","N")</f>
        <v>Y</v>
      </c>
    </row>
    <row r="50" spans="1:4" x14ac:dyDescent="0.25">
      <c r="A50" s="10"/>
      <c r="B50" s="5"/>
      <c r="C50" s="5"/>
      <c r="D50" s="5" t="str">
        <f>IF(B50=C50,"Y","N")</f>
        <v>Y</v>
      </c>
    </row>
    <row r="51" spans="1:4" x14ac:dyDescent="0.25">
      <c r="A51" s="10"/>
      <c r="B51" s="5"/>
      <c r="C51" s="5"/>
      <c r="D51" s="5" t="str">
        <f>IF(B51=C51,"Y","N")</f>
        <v>Y</v>
      </c>
    </row>
    <row r="52" spans="1:4" x14ac:dyDescent="0.25">
      <c r="A52" s="10"/>
      <c r="B52" s="5"/>
      <c r="C52" s="5"/>
      <c r="D52" s="5" t="str">
        <f>IF(B52=C52,"Y","N")</f>
        <v>Y</v>
      </c>
    </row>
    <row r="53" spans="1:4" x14ac:dyDescent="0.25">
      <c r="A53" s="10"/>
      <c r="B53" s="5"/>
      <c r="C53" s="5"/>
      <c r="D53" s="5" t="str">
        <f>IF(B53=C53,"Y","N")</f>
        <v>Y</v>
      </c>
    </row>
    <row r="54" spans="1:4" x14ac:dyDescent="0.25">
      <c r="A54" s="10"/>
      <c r="B54" s="5"/>
      <c r="C54" s="5"/>
      <c r="D54" s="5" t="str">
        <f>IF(B54=C54,"Y","N")</f>
        <v>Y</v>
      </c>
    </row>
    <row r="55" spans="1:4" x14ac:dyDescent="0.25">
      <c r="A55" s="10"/>
      <c r="B55" s="5"/>
      <c r="C55" s="5"/>
      <c r="D55" s="5" t="str">
        <f>IF(B55=C55,"Y","N")</f>
        <v>Y</v>
      </c>
    </row>
    <row r="56" spans="1:4" x14ac:dyDescent="0.25">
      <c r="A56" s="10"/>
      <c r="B56" s="5"/>
      <c r="C56" s="5"/>
      <c r="D56" s="5" t="str">
        <f>IF(B56=C56,"Y","N")</f>
        <v>Y</v>
      </c>
    </row>
    <row r="57" spans="1:4" x14ac:dyDescent="0.25">
      <c r="A57" s="10"/>
      <c r="B57" s="5"/>
      <c r="C57" s="5"/>
      <c r="D57" s="5" t="str">
        <f>IF(B57=C57,"Y","N")</f>
        <v>Y</v>
      </c>
    </row>
    <row r="58" spans="1:4" x14ac:dyDescent="0.25">
      <c r="A58" s="10"/>
      <c r="B58" s="5"/>
      <c r="C58" s="5"/>
      <c r="D58" s="5" t="str">
        <f>IF(B58=C58,"Y","N")</f>
        <v>Y</v>
      </c>
    </row>
    <row r="59" spans="1:4" x14ac:dyDescent="0.25">
      <c r="A59" s="10"/>
      <c r="B59" s="5"/>
      <c r="C59" s="5"/>
      <c r="D59" s="5" t="str">
        <f>IF(B59=C59,"Y","N")</f>
        <v>Y</v>
      </c>
    </row>
    <row r="60" spans="1:4" x14ac:dyDescent="0.25">
      <c r="A60" s="10"/>
      <c r="B60" s="5"/>
      <c r="C60" s="5"/>
      <c r="D60" s="5" t="str">
        <f>IF(B60=C60,"Y","N")</f>
        <v>Y</v>
      </c>
    </row>
    <row r="61" spans="1:4" x14ac:dyDescent="0.25">
      <c r="A61" s="10"/>
      <c r="B61" s="5"/>
      <c r="C61" s="5"/>
      <c r="D61" s="5" t="str">
        <f>IF(B61=C61,"Y","N")</f>
        <v>Y</v>
      </c>
    </row>
    <row r="62" spans="1:4" x14ac:dyDescent="0.25">
      <c r="A62" s="10"/>
      <c r="B62" s="5"/>
      <c r="C62" s="5"/>
      <c r="D62" s="5" t="str">
        <f>IF(B62=C62,"Y","N")</f>
        <v>Y</v>
      </c>
    </row>
    <row r="63" spans="1:4" x14ac:dyDescent="0.25">
      <c r="A63" s="10"/>
      <c r="B63" s="5"/>
      <c r="C63" s="5"/>
      <c r="D63" s="5" t="str">
        <f>IF(B63=C63,"Y","N")</f>
        <v>Y</v>
      </c>
    </row>
    <row r="64" spans="1:4" x14ac:dyDescent="0.25">
      <c r="A64" s="10"/>
      <c r="B64" s="5"/>
      <c r="C64" s="5"/>
      <c r="D64" s="5" t="str">
        <f>IF(B64=C64,"Y","N")</f>
        <v>Y</v>
      </c>
    </row>
    <row r="65" spans="1:5" x14ac:dyDescent="0.25">
      <c r="A65" s="10"/>
      <c r="B65" s="5"/>
      <c r="C65" s="5"/>
      <c r="D65" s="5" t="str">
        <f>IF(B65=C65,"Y","N")</f>
        <v>Y</v>
      </c>
    </row>
    <row r="66" spans="1:5" x14ac:dyDescent="0.25">
      <c r="A66" s="10"/>
      <c r="B66" s="5"/>
      <c r="C66" s="5"/>
      <c r="D66" s="5" t="str">
        <f>IF(B66=C66,"Y","N")</f>
        <v>Y</v>
      </c>
    </row>
    <row r="67" spans="1:5" x14ac:dyDescent="0.25">
      <c r="A67" s="10"/>
      <c r="B67" s="5"/>
      <c r="C67" s="5"/>
      <c r="D67" s="5" t="str">
        <f>IF(B67=C67,"Y","N")</f>
        <v>Y</v>
      </c>
    </row>
    <row r="68" spans="1:5" x14ac:dyDescent="0.25">
      <c r="A68" s="10"/>
      <c r="B68" s="5"/>
      <c r="C68" s="5"/>
      <c r="D68" s="5" t="str">
        <f>IF(B68=C68,"Y","N")</f>
        <v>Y</v>
      </c>
    </row>
    <row r="69" spans="1:5" x14ac:dyDescent="0.25">
      <c r="A69" s="10"/>
      <c r="B69" s="5"/>
      <c r="C69" s="5"/>
      <c r="D69" s="5" t="str">
        <f>IF(B69=C69,"Y","N")</f>
        <v>Y</v>
      </c>
    </row>
    <row r="70" spans="1:5" x14ac:dyDescent="0.25">
      <c r="A70" s="10"/>
      <c r="B70" s="5"/>
      <c r="C70" s="5"/>
      <c r="D70" s="5" t="str">
        <f>IF(B70=C70,"Y","N")</f>
        <v>Y</v>
      </c>
    </row>
    <row r="71" spans="1:5" x14ac:dyDescent="0.25">
      <c r="A71" s="10"/>
      <c r="B71" s="5"/>
      <c r="C71" s="5"/>
      <c r="D71" s="5" t="str">
        <f>IF(B71=C71,"Y","N")</f>
        <v>Y</v>
      </c>
      <c r="E71" s="5"/>
    </row>
    <row r="72" spans="1:5" x14ac:dyDescent="0.25">
      <c r="A72" s="10"/>
      <c r="B72" s="5"/>
      <c r="C72" s="5"/>
      <c r="D72" s="5" t="str">
        <f>IF(B72=C72,"Y","N")</f>
        <v>Y</v>
      </c>
      <c r="E72" s="5"/>
    </row>
    <row r="73" spans="1:5" x14ac:dyDescent="0.25">
      <c r="A73" s="10"/>
      <c r="B73" s="5"/>
      <c r="C73" s="5"/>
      <c r="D73" s="5" t="str">
        <f>IF(B73=C73,"Y","N")</f>
        <v>Y</v>
      </c>
      <c r="E73" s="5"/>
    </row>
    <row r="74" spans="1:5" x14ac:dyDescent="0.25">
      <c r="A74" s="10"/>
      <c r="B74" s="5"/>
      <c r="C74" s="5"/>
      <c r="D74" s="5" t="str">
        <f>IF(B74=C74,"Y","N")</f>
        <v>Y</v>
      </c>
      <c r="E74" s="5"/>
    </row>
    <row r="75" spans="1:5" x14ac:dyDescent="0.25">
      <c r="A75" s="10"/>
      <c r="B75" s="5"/>
      <c r="C75" s="5"/>
      <c r="D75" s="5" t="str">
        <f>IF(B75=C75,"Y","N")</f>
        <v>Y</v>
      </c>
      <c r="E75" s="5"/>
    </row>
    <row r="76" spans="1:5" x14ac:dyDescent="0.25">
      <c r="A76" s="10"/>
      <c r="B76" s="5"/>
      <c r="C76" s="5"/>
      <c r="D76" s="5" t="str">
        <f>IF(B76=C76,"Y","N")</f>
        <v>Y</v>
      </c>
      <c r="E76" s="5"/>
    </row>
    <row r="77" spans="1:5" x14ac:dyDescent="0.25">
      <c r="A77" s="10"/>
      <c r="B77" s="5"/>
      <c r="C77" s="5"/>
      <c r="D77" s="5" t="str">
        <f>IF(B77=C77,"Y","N")</f>
        <v>Y</v>
      </c>
      <c r="E77" s="5"/>
    </row>
    <row r="78" spans="1:5" x14ac:dyDescent="0.25">
      <c r="A78" s="10"/>
      <c r="B78" s="5"/>
      <c r="C78" s="5"/>
      <c r="D78" s="5" t="str">
        <f>IF(B78=C78,"Y","N")</f>
        <v>Y</v>
      </c>
      <c r="E78" s="5"/>
    </row>
    <row r="79" spans="1:5" x14ac:dyDescent="0.25">
      <c r="A79" s="10"/>
      <c r="B79" s="5"/>
      <c r="C79" s="5"/>
      <c r="D79" s="5" t="str">
        <f>IF(B79=C79,"Y","N")</f>
        <v>Y</v>
      </c>
      <c r="E79" s="5"/>
    </row>
    <row r="80" spans="1:5" x14ac:dyDescent="0.25">
      <c r="A80" s="10"/>
      <c r="B80" s="5"/>
      <c r="C80" s="5"/>
      <c r="D80" s="5" t="str">
        <f>IF(B80=C80,"Y","N")</f>
        <v>Y</v>
      </c>
      <c r="E80" s="5"/>
    </row>
    <row r="81" spans="1:5" x14ac:dyDescent="0.25">
      <c r="A81" s="10"/>
      <c r="B81" s="5"/>
      <c r="C81" s="5"/>
      <c r="D81" s="5" t="str">
        <f>IF(B81=C81,"Y","N")</f>
        <v>Y</v>
      </c>
      <c r="E81" s="5"/>
    </row>
    <row r="82" spans="1:5" x14ac:dyDescent="0.25">
      <c r="A82" s="10"/>
      <c r="B82" s="5"/>
      <c r="C82" s="5"/>
      <c r="D82" s="5" t="str">
        <f>IF(B82=C82,"Y","N")</f>
        <v>Y</v>
      </c>
      <c r="E82" s="5"/>
    </row>
    <row r="83" spans="1:5" x14ac:dyDescent="0.25">
      <c r="A83" s="10"/>
      <c r="B83" s="5"/>
      <c r="C83" s="5"/>
      <c r="D83" s="5" t="str">
        <f>IF(B83=C83,"Y","N")</f>
        <v>Y</v>
      </c>
      <c r="E83" s="5"/>
    </row>
    <row r="84" spans="1:5" x14ac:dyDescent="0.25">
      <c r="A84" s="10"/>
      <c r="B84" s="5"/>
      <c r="C84" s="5"/>
      <c r="D84" s="5" t="str">
        <f>IF(B84=C84,"Y","N")</f>
        <v>Y</v>
      </c>
      <c r="E84" s="5"/>
    </row>
    <row r="85" spans="1:5" x14ac:dyDescent="0.25">
      <c r="A85" s="10"/>
      <c r="B85" s="5"/>
      <c r="C85" s="5"/>
      <c r="D85" s="5" t="str">
        <f>IF(B85=C85,"Y","N")</f>
        <v>Y</v>
      </c>
      <c r="E85" s="5"/>
    </row>
    <row r="86" spans="1:5" x14ac:dyDescent="0.25">
      <c r="A86" s="10"/>
      <c r="B86" s="5"/>
      <c r="C86" s="5"/>
      <c r="D86" s="5" t="str">
        <f>IF(B86=C86,"Y","N")</f>
        <v>Y</v>
      </c>
      <c r="E86" s="5"/>
    </row>
    <row r="87" spans="1:5" x14ac:dyDescent="0.25">
      <c r="A87" s="10"/>
      <c r="B87" s="5"/>
      <c r="C87" s="5"/>
      <c r="D87" s="5" t="str">
        <f>IF(B87=C87,"Y","N")</f>
        <v>Y</v>
      </c>
      <c r="E87" s="5"/>
    </row>
    <row r="88" spans="1:5" x14ac:dyDescent="0.25">
      <c r="A88" s="10"/>
      <c r="B88" s="5"/>
      <c r="C88" s="5"/>
      <c r="D88" s="5" t="str">
        <f>IF(B88=C88,"Y","N")</f>
        <v>Y</v>
      </c>
      <c r="E88" s="5"/>
    </row>
    <row r="89" spans="1:5" x14ac:dyDescent="0.25">
      <c r="A89" s="10"/>
      <c r="B89" s="5"/>
      <c r="C89" s="5"/>
      <c r="D89" s="5" t="str">
        <f>IF(B89=C89,"Y","N")</f>
        <v>Y</v>
      </c>
      <c r="E89" s="5"/>
    </row>
    <row r="90" spans="1:5" x14ac:dyDescent="0.25">
      <c r="A90" s="10"/>
      <c r="B90" s="5"/>
      <c r="C90" s="5"/>
      <c r="D90" s="5" t="str">
        <f>IF(B90=C90,"Y","N")</f>
        <v>Y</v>
      </c>
      <c r="E90" s="5"/>
    </row>
    <row r="91" spans="1:5" x14ac:dyDescent="0.25">
      <c r="A91" s="10"/>
      <c r="B91" s="5"/>
      <c r="C91" s="5"/>
      <c r="D91" s="5" t="str">
        <f>IF(B91=C91,"Y","N")</f>
        <v>Y</v>
      </c>
      <c r="E91" s="5"/>
    </row>
    <row r="92" spans="1:5" x14ac:dyDescent="0.25">
      <c r="A92" s="10"/>
      <c r="B92" s="5"/>
      <c r="C92" s="5"/>
      <c r="D92" s="5" t="str">
        <f>IF(B92=C92,"Y","N")</f>
        <v>Y</v>
      </c>
      <c r="E92" s="5"/>
    </row>
  </sheetData>
  <autoFilter ref="A2:J2" xr:uid="{00000000-0001-0000-1800-000000000000}"/>
  <conditionalFormatting sqref="E1 D47 D48:E51 I49:I50 D55:E1048576 D52:D54 E52:E53 D24:E46 D23 D16:E22 D15 D2:E14">
    <cfRule type="cellIs" dxfId="2" priority="3" operator="equal">
      <formula>"N"</formula>
    </cfRule>
  </conditionalFormatting>
  <conditionalFormatting sqref="G9">
    <cfRule type="cellIs" dxfId="1" priority="2" operator="equal">
      <formula>"N"</formula>
    </cfRule>
  </conditionalFormatting>
  <conditionalFormatting sqref="F3:F20">
    <cfRule type="cellIs" dxfId="0" priority="1" operator="equal">
      <formula>"N"</formula>
    </cfRule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Readme</vt:lpstr>
      <vt:lpstr>TableName_Mapping</vt:lpstr>
      <vt:lpstr>01-Capacitors</vt:lpstr>
      <vt:lpstr>02-Resistors</vt:lpstr>
      <vt:lpstr>03-Varistors</vt:lpstr>
      <vt:lpstr>04-Transistors</vt:lpstr>
      <vt:lpstr>05-Diodes</vt:lpstr>
      <vt:lpstr>06-ICs_digital</vt:lpstr>
      <vt:lpstr>07-Memory</vt:lpstr>
      <vt:lpstr>08-ICs_analog</vt:lpstr>
      <vt:lpstr>09-Regulators</vt:lpstr>
      <vt:lpstr>10-Converters</vt:lpstr>
      <vt:lpstr>11-OP_Amps</vt:lpstr>
      <vt:lpstr>12-Magnetics</vt:lpstr>
      <vt:lpstr>13-Transformers</vt:lpstr>
      <vt:lpstr>14-Opto</vt:lpstr>
      <vt:lpstr>15-Oscillators</vt:lpstr>
      <vt:lpstr>16-Connectors</vt:lpstr>
      <vt:lpstr>17-Relays</vt:lpstr>
      <vt:lpstr>18-Sensors</vt:lpstr>
      <vt:lpstr>19-Switches</vt:lpstr>
      <vt:lpstr>20-MechParts</vt:lpstr>
      <vt:lpstr>21-MiscParts</vt:lpstr>
      <vt:lpstr>23-PCB</vt:lpstr>
      <vt:lpstr>24-Software</vt:lpstr>
      <vt:lpstr>90-Titleblock</vt:lpstr>
      <vt:lpstr>98-Shapes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Mackey-JinHuan Lao</cp:lastModifiedBy>
  <dcterms:created xsi:type="dcterms:W3CDTF">2026-05-12T00:45:12Z</dcterms:created>
  <dcterms:modified xsi:type="dcterms:W3CDTF">2026-05-12T07:39:44Z</dcterms:modified>
</cp:coreProperties>
</file>